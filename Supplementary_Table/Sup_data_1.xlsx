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504" documentId="8_{B3818D3B-DE98-46F5-B6BA-2DB5A98624BC}" xr6:coauthVersionLast="47" xr6:coauthVersionMax="47" xr10:uidLastSave="{EDBB2B8A-4718-4FBE-BFC8-B3E1E37B33F2}"/>
  <bookViews>
    <workbookView xWindow="28680" yWindow="-5520" windowWidth="38640" windowHeight="21120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1" l="1"/>
  <c r="F104" i="1"/>
  <c r="F96" i="1"/>
  <c r="F88" i="1"/>
  <c r="F44" i="1"/>
  <c r="F60" i="1"/>
  <c r="F80" i="1"/>
  <c r="F70" i="1"/>
  <c r="F52" i="1"/>
  <c r="G112" i="1"/>
  <c r="G104" i="1"/>
  <c r="G96" i="1"/>
  <c r="G88" i="1"/>
  <c r="G80" i="1"/>
  <c r="G70" i="1"/>
  <c r="G60" i="1"/>
  <c r="G52" i="1"/>
  <c r="G44" i="1" l="1"/>
  <c r="F30" i="1"/>
  <c r="G18" i="1"/>
  <c r="G30" i="1"/>
  <c r="F18" i="1"/>
</calcChain>
</file>

<file path=xl/sharedStrings.xml><?xml version="1.0" encoding="utf-8"?>
<sst xmlns="http://schemas.openxmlformats.org/spreadsheetml/2006/main" count="516" uniqueCount="62">
  <si>
    <t>sample</t>
  </si>
  <si>
    <t>median_total_reads</t>
  </si>
  <si>
    <t>median_FRiP</t>
  </si>
  <si>
    <t>project</t>
  </si>
  <si>
    <t>modality</t>
  </si>
  <si>
    <t>Dam</t>
  </si>
  <si>
    <t>library batch</t>
  </si>
  <si>
    <t>Day-2</t>
  </si>
  <si>
    <t>Day-7</t>
  </si>
  <si>
    <t>HisT_Day2-7</t>
  </si>
  <si>
    <t>H3K27ac</t>
  </si>
  <si>
    <t>total_cells_QC_passed</t>
  </si>
  <si>
    <t>replicate</t>
  </si>
  <si>
    <t>rep1</t>
  </si>
  <si>
    <t>rep2</t>
  </si>
  <si>
    <t>GTACTGAC</t>
  </si>
  <si>
    <t>TAGATCGC</t>
  </si>
  <si>
    <t>TATAGCCT</t>
  </si>
  <si>
    <t>ATAGAGGC</t>
  </si>
  <si>
    <t>CCTATCCT</t>
  </si>
  <si>
    <t>AAGGAGTA</t>
  </si>
  <si>
    <t>CTAAGCCT</t>
  </si>
  <si>
    <t>CGTCTAAT</t>
  </si>
  <si>
    <t>GGCTCTGA</t>
  </si>
  <si>
    <t>TAATCTTA</t>
  </si>
  <si>
    <t>CAGGACGT</t>
  </si>
  <si>
    <t>TCGACTAG</t>
  </si>
  <si>
    <t>modality/sample barcode</t>
  </si>
  <si>
    <t>Total</t>
  </si>
  <si>
    <t>median_duplication_rate</t>
  </si>
  <si>
    <t>median_UMI_per_cell</t>
  </si>
  <si>
    <t xml:space="preserve">Regarding FreeDam Day-7 rep2, sample/modality barcode (CTCTCTAT) turns out to be ill-suited for nanobody-mediated multiplexed chromatin sequencing with 10x Genomics Chromium platform: This resulted in very low library complexity. This was confirmed multiple times in other projects of Kitazawa's lab for similar experiments (i.e., nanoCT, scDamID). </t>
  </si>
  <si>
    <t>HisT_Day2-7_RA0</t>
  </si>
  <si>
    <t>HisT_Day2-7_RA0.5</t>
  </si>
  <si>
    <t>HisT_Day2-7_RA2.5</t>
  </si>
  <si>
    <t>total</t>
  </si>
  <si>
    <t>5_1</t>
  </si>
  <si>
    <t>5_2</t>
  </si>
  <si>
    <t>HisT_Day2-7_ctrl</t>
  </si>
  <si>
    <t>HisT_Day2-7_U0126</t>
  </si>
  <si>
    <t>rep3</t>
  </si>
  <si>
    <t>6_1</t>
  </si>
  <si>
    <t>6_2</t>
  </si>
  <si>
    <t>HisT_Day2-7_A395</t>
  </si>
  <si>
    <t>TCTCTCCG</t>
  </si>
  <si>
    <t>TTCTAGCT</t>
  </si>
  <si>
    <t>7_1</t>
  </si>
  <si>
    <t>Wk8</t>
  </si>
  <si>
    <t>P8</t>
  </si>
  <si>
    <t>HisT_P8-Wk8</t>
  </si>
  <si>
    <t>7_2</t>
  </si>
  <si>
    <t>7_3</t>
  </si>
  <si>
    <t>7_4</t>
  </si>
  <si>
    <t>rep4</t>
  </si>
  <si>
    <t>1_vivo_cortex_DamLeo1_DamTag</t>
  </si>
  <si>
    <t>2_vitro_DamLeo1_H3K27ac</t>
  </si>
  <si>
    <t>3_vitro_FreeDam_H3K27ac</t>
  </si>
  <si>
    <t>4_vitro_DamBiv_H3K27ac</t>
  </si>
  <si>
    <t>5_vitro_DamLeo1_H3K27ac_perburb1</t>
  </si>
  <si>
    <t>6_vitro_DamLeo1_H3K27ac_perburb2</t>
  </si>
  <si>
    <t>7_vivo_cortex_DamLeo1</t>
  </si>
  <si>
    <t>Sequenced read pairs (CellRanger)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</si>
</sst>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L114"/>
  <sheetViews>
    <sheetView tabSelected="1" topLeftCell="A40" workbookViewId="0">
      <selection activeCell="H55" sqref="H55"/>
    </sheetView>
  </sheetViews>
  <sheetFormatPr defaultRowHeight="14.4" x14ac:dyDescent="0.3"/>
  <cols>
    <col min="1" max="1" width="6.21875" customWidth="1"/>
    <col min="2" max="2" width="33.44140625" customWidth="1"/>
    <col min="3" max="3" width="21.88671875" customWidth="1"/>
    <col min="5" max="5" width="13.6640625" customWidth="1"/>
    <col min="6" max="6" width="28.33203125" style="1" customWidth="1"/>
    <col min="7" max="7" width="20.6640625" customWidth="1"/>
    <col min="8" max="8" width="21.21875" customWidth="1"/>
    <col min="9" max="9" width="21" customWidth="1"/>
    <col min="10" max="10" width="20" customWidth="1"/>
    <col min="11" max="11" width="14" customWidth="1"/>
    <col min="12" max="12" width="24" customWidth="1"/>
  </cols>
  <sheetData>
    <row r="1" spans="1:12" x14ac:dyDescent="0.3">
      <c r="A1" t="s">
        <v>6</v>
      </c>
      <c r="B1" t="s">
        <v>3</v>
      </c>
      <c r="C1" t="s">
        <v>0</v>
      </c>
      <c r="D1" t="s">
        <v>12</v>
      </c>
      <c r="E1" t="s">
        <v>4</v>
      </c>
      <c r="F1" s="1" t="s">
        <v>61</v>
      </c>
      <c r="G1" t="s">
        <v>11</v>
      </c>
      <c r="H1" t="s">
        <v>1</v>
      </c>
      <c r="I1" t="s">
        <v>29</v>
      </c>
      <c r="J1" t="s">
        <v>30</v>
      </c>
      <c r="K1" t="s">
        <v>2</v>
      </c>
      <c r="L1" t="s">
        <v>27</v>
      </c>
    </row>
    <row r="3" spans="1:12" x14ac:dyDescent="0.3">
      <c r="A3">
        <v>1</v>
      </c>
      <c r="B3" t="s">
        <v>54</v>
      </c>
      <c r="C3" t="s">
        <v>47</v>
      </c>
      <c r="D3" t="s">
        <v>13</v>
      </c>
      <c r="E3" t="s">
        <v>5</v>
      </c>
      <c r="F3" s="1">
        <v>116950687</v>
      </c>
      <c r="G3">
        <v>9232</v>
      </c>
      <c r="H3">
        <v>9267.5</v>
      </c>
      <c r="I3">
        <v>0.226453835229498</v>
      </c>
      <c r="J3" s="2">
        <v>5263.9999050153065</v>
      </c>
      <c r="K3">
        <v>0.59223331526541201</v>
      </c>
      <c r="L3" t="s">
        <v>15</v>
      </c>
    </row>
    <row r="4" spans="1:12" x14ac:dyDescent="0.3">
      <c r="A4">
        <v>1</v>
      </c>
      <c r="B4" t="s">
        <v>54</v>
      </c>
      <c r="C4" t="s">
        <v>47</v>
      </c>
      <c r="D4" t="s">
        <v>14</v>
      </c>
      <c r="E4" t="s">
        <v>5</v>
      </c>
      <c r="F4" s="1">
        <v>152782373</v>
      </c>
      <c r="G4">
        <v>10656</v>
      </c>
      <c r="H4">
        <v>10433.5</v>
      </c>
      <c r="I4">
        <v>0.222365526851935</v>
      </c>
      <c r="J4" s="2">
        <v>5947.4999789828098</v>
      </c>
      <c r="K4">
        <v>0.62214704346147798</v>
      </c>
      <c r="L4" t="s">
        <v>16</v>
      </c>
    </row>
    <row r="5" spans="1:12" x14ac:dyDescent="0.3">
      <c r="J5" s="2"/>
    </row>
    <row r="6" spans="1:12" x14ac:dyDescent="0.3">
      <c r="A6">
        <v>2</v>
      </c>
      <c r="B6" t="s">
        <v>55</v>
      </c>
      <c r="C6" t="s">
        <v>7</v>
      </c>
      <c r="D6" t="s">
        <v>13</v>
      </c>
      <c r="E6" t="s">
        <v>10</v>
      </c>
      <c r="F6" s="1">
        <v>57468568</v>
      </c>
      <c r="G6">
        <v>4816</v>
      </c>
      <c r="H6">
        <v>5546</v>
      </c>
      <c r="I6">
        <v>0.32721805124040099</v>
      </c>
      <c r="J6" s="2">
        <v>2149.4994766224072</v>
      </c>
      <c r="K6">
        <v>0.34832684002813302</v>
      </c>
      <c r="L6" t="s">
        <v>20</v>
      </c>
    </row>
    <row r="7" spans="1:12" x14ac:dyDescent="0.3">
      <c r="A7">
        <v>2</v>
      </c>
      <c r="B7" t="s">
        <v>55</v>
      </c>
      <c r="C7" t="s">
        <v>7</v>
      </c>
      <c r="D7" t="s">
        <v>14</v>
      </c>
      <c r="E7" t="s">
        <v>10</v>
      </c>
      <c r="F7" s="1">
        <v>68555047</v>
      </c>
      <c r="G7">
        <v>4306</v>
      </c>
      <c r="H7">
        <v>7388</v>
      </c>
      <c r="I7">
        <v>0.31785028380721297</v>
      </c>
      <c r="J7" s="2">
        <v>2914.9999999999841</v>
      </c>
      <c r="K7">
        <v>0.34489730578363897</v>
      </c>
      <c r="L7" t="s">
        <v>15</v>
      </c>
    </row>
    <row r="8" spans="1:12" x14ac:dyDescent="0.3">
      <c r="A8">
        <v>2</v>
      </c>
      <c r="B8" t="s">
        <v>55</v>
      </c>
      <c r="C8" t="s">
        <v>8</v>
      </c>
      <c r="D8" t="s">
        <v>13</v>
      </c>
      <c r="E8" t="s">
        <v>10</v>
      </c>
      <c r="F8" s="1">
        <v>87692185</v>
      </c>
      <c r="G8">
        <v>3692</v>
      </c>
      <c r="H8">
        <v>11431.5</v>
      </c>
      <c r="I8">
        <v>0.32294765677283199</v>
      </c>
      <c r="J8" s="2">
        <v>4363.4999713532516</v>
      </c>
      <c r="K8">
        <v>0.35652358510464099</v>
      </c>
      <c r="L8" t="s">
        <v>21</v>
      </c>
    </row>
    <row r="9" spans="1:12" x14ac:dyDescent="0.3">
      <c r="A9">
        <v>2</v>
      </c>
      <c r="B9" t="s">
        <v>55</v>
      </c>
      <c r="C9" t="s">
        <v>8</v>
      </c>
      <c r="D9" t="s">
        <v>14</v>
      </c>
      <c r="E9" t="s">
        <v>10</v>
      </c>
      <c r="F9" s="1">
        <v>93078907</v>
      </c>
      <c r="G9">
        <v>4690</v>
      </c>
      <c r="H9">
        <v>12624</v>
      </c>
      <c r="I9">
        <v>0.30347136127281299</v>
      </c>
      <c r="J9" s="2">
        <v>5004.4999750224879</v>
      </c>
      <c r="K9">
        <v>0.38765555160294701</v>
      </c>
      <c r="L9" t="s">
        <v>26</v>
      </c>
    </row>
    <row r="10" spans="1:12" x14ac:dyDescent="0.3">
      <c r="A10">
        <v>2</v>
      </c>
      <c r="B10" t="s">
        <v>55</v>
      </c>
      <c r="C10" t="s">
        <v>9</v>
      </c>
      <c r="D10" t="s">
        <v>13</v>
      </c>
      <c r="E10" t="s">
        <v>10</v>
      </c>
      <c r="F10" s="1">
        <v>125255428</v>
      </c>
      <c r="G10">
        <v>4720</v>
      </c>
      <c r="H10">
        <v>16020</v>
      </c>
      <c r="I10">
        <v>0.33179623482464998</v>
      </c>
      <c r="J10" s="2">
        <v>5913.4999788618989</v>
      </c>
      <c r="K10">
        <v>0.45779781592742103</v>
      </c>
      <c r="L10" t="s">
        <v>22</v>
      </c>
    </row>
    <row r="11" spans="1:12" x14ac:dyDescent="0.3">
      <c r="A11">
        <v>2</v>
      </c>
      <c r="B11" t="s">
        <v>55</v>
      </c>
      <c r="C11" t="s">
        <v>9</v>
      </c>
      <c r="D11" t="s">
        <v>14</v>
      </c>
      <c r="E11" t="s">
        <v>10</v>
      </c>
      <c r="F11" s="1">
        <v>124291154</v>
      </c>
      <c r="G11">
        <v>4424</v>
      </c>
      <c r="H11">
        <v>17860.5</v>
      </c>
      <c r="I11">
        <v>0.29354446017497099</v>
      </c>
      <c r="J11" s="2">
        <v>7474.9999331104345</v>
      </c>
      <c r="K11">
        <v>0.49151798613877201</v>
      </c>
      <c r="L11" t="s">
        <v>16</v>
      </c>
    </row>
    <row r="12" spans="1:12" x14ac:dyDescent="0.3">
      <c r="A12">
        <v>2</v>
      </c>
      <c r="B12" t="s">
        <v>55</v>
      </c>
      <c r="C12" t="s">
        <v>7</v>
      </c>
      <c r="D12" t="s">
        <v>13</v>
      </c>
      <c r="E12" t="s">
        <v>5</v>
      </c>
      <c r="F12" s="1">
        <v>82982037</v>
      </c>
      <c r="G12">
        <v>4816</v>
      </c>
      <c r="H12">
        <v>9578.5</v>
      </c>
      <c r="I12">
        <v>0.32906877389876299</v>
      </c>
      <c r="J12" s="2">
        <v>3797.4999670836305</v>
      </c>
      <c r="K12">
        <v>0.50280175273054095</v>
      </c>
      <c r="L12" t="s">
        <v>17</v>
      </c>
    </row>
    <row r="13" spans="1:12" x14ac:dyDescent="0.3">
      <c r="A13">
        <v>2</v>
      </c>
      <c r="B13" t="s">
        <v>55</v>
      </c>
      <c r="C13" t="s">
        <v>7</v>
      </c>
      <c r="D13" t="s">
        <v>14</v>
      </c>
      <c r="E13" t="s">
        <v>5</v>
      </c>
      <c r="F13" s="1">
        <v>53709488</v>
      </c>
      <c r="G13">
        <v>4306</v>
      </c>
      <c r="H13">
        <v>7454</v>
      </c>
      <c r="I13">
        <v>0.32917535753736499</v>
      </c>
      <c r="J13" s="2">
        <v>2948.4999576055252</v>
      </c>
      <c r="K13">
        <v>0.46970877769314601</v>
      </c>
      <c r="L13" t="s">
        <v>23</v>
      </c>
    </row>
    <row r="14" spans="1:12" x14ac:dyDescent="0.3">
      <c r="A14">
        <v>2</v>
      </c>
      <c r="B14" t="s">
        <v>55</v>
      </c>
      <c r="C14" t="s">
        <v>8</v>
      </c>
      <c r="D14" t="s">
        <v>13</v>
      </c>
      <c r="E14" t="s">
        <v>5</v>
      </c>
      <c r="F14" s="1">
        <v>208561490</v>
      </c>
      <c r="G14">
        <v>3692</v>
      </c>
      <c r="H14">
        <v>31359.5</v>
      </c>
      <c r="I14">
        <v>0.31428947266207802</v>
      </c>
      <c r="J14" s="2">
        <v>11650.499903437636</v>
      </c>
      <c r="K14">
        <v>0.53852102268803004</v>
      </c>
      <c r="L14" t="s">
        <v>18</v>
      </c>
    </row>
    <row r="15" spans="1:12" x14ac:dyDescent="0.3">
      <c r="A15">
        <v>2</v>
      </c>
      <c r="B15" t="s">
        <v>55</v>
      </c>
      <c r="C15" t="s">
        <v>8</v>
      </c>
      <c r="D15" t="s">
        <v>14</v>
      </c>
      <c r="E15" t="s">
        <v>5</v>
      </c>
      <c r="F15" s="1">
        <v>301382529</v>
      </c>
      <c r="G15">
        <v>4690</v>
      </c>
      <c r="H15">
        <v>38993.5</v>
      </c>
      <c r="I15">
        <v>0.32094914597403701</v>
      </c>
      <c r="J15" s="2">
        <v>14330.499991277342</v>
      </c>
      <c r="K15">
        <v>0.59580886932235599</v>
      </c>
      <c r="L15" t="s">
        <v>24</v>
      </c>
    </row>
    <row r="16" spans="1:12" x14ac:dyDescent="0.3">
      <c r="A16">
        <v>2</v>
      </c>
      <c r="B16" t="s">
        <v>55</v>
      </c>
      <c r="C16" t="s">
        <v>9</v>
      </c>
      <c r="D16" t="s">
        <v>13</v>
      </c>
      <c r="E16" t="s">
        <v>5</v>
      </c>
      <c r="F16" s="1">
        <v>129457198</v>
      </c>
      <c r="G16">
        <v>4720</v>
      </c>
      <c r="H16">
        <v>15267.5</v>
      </c>
      <c r="I16">
        <v>0.31756417063443998</v>
      </c>
      <c r="J16" s="2">
        <v>6061.9999175189978</v>
      </c>
      <c r="K16">
        <v>0.51717845002104501</v>
      </c>
      <c r="L16" t="s">
        <v>19</v>
      </c>
    </row>
    <row r="17" spans="1:12" x14ac:dyDescent="0.3">
      <c r="A17">
        <v>2</v>
      </c>
      <c r="B17" t="s">
        <v>55</v>
      </c>
      <c r="C17" t="s">
        <v>9</v>
      </c>
      <c r="D17" t="s">
        <v>14</v>
      </c>
      <c r="E17" t="s">
        <v>5</v>
      </c>
      <c r="F17" s="1">
        <v>116509835</v>
      </c>
      <c r="G17">
        <v>4424</v>
      </c>
      <c r="H17">
        <v>14348.5</v>
      </c>
      <c r="I17">
        <v>0.32851223657239897</v>
      </c>
      <c r="J17" s="2">
        <v>5555.4999774998787</v>
      </c>
      <c r="K17">
        <v>0.50896291311890696</v>
      </c>
      <c r="L17" t="s">
        <v>25</v>
      </c>
    </row>
    <row r="18" spans="1:12" x14ac:dyDescent="0.3">
      <c r="C18" t="s">
        <v>28</v>
      </c>
      <c r="F18" s="1">
        <f>SUM(F6:F17)</f>
        <v>1448943866</v>
      </c>
      <c r="G18" s="1">
        <f>SUM(G6:G11)</f>
        <v>26648</v>
      </c>
      <c r="J18" s="2"/>
    </row>
    <row r="19" spans="1:12" x14ac:dyDescent="0.3">
      <c r="J19" s="2"/>
    </row>
    <row r="20" spans="1:12" x14ac:dyDescent="0.3">
      <c r="A20">
        <v>3</v>
      </c>
      <c r="B20" t="s">
        <v>56</v>
      </c>
      <c r="C20" t="s">
        <v>7</v>
      </c>
      <c r="D20" t="s">
        <v>13</v>
      </c>
      <c r="E20" t="s">
        <v>10</v>
      </c>
      <c r="F20" s="1">
        <v>18981247</v>
      </c>
      <c r="G20">
        <v>3450</v>
      </c>
      <c r="H20">
        <v>2493</v>
      </c>
      <c r="I20">
        <v>0.220346349455013</v>
      </c>
      <c r="J20" s="2">
        <v>1231.0000000000114</v>
      </c>
      <c r="K20">
        <v>0.28744027096608998</v>
      </c>
      <c r="L20" t="s">
        <v>20</v>
      </c>
    </row>
    <row r="21" spans="1:12" x14ac:dyDescent="0.3">
      <c r="A21">
        <v>3</v>
      </c>
      <c r="B21" t="s">
        <v>56</v>
      </c>
      <c r="C21" t="s">
        <v>7</v>
      </c>
      <c r="D21" t="s">
        <v>14</v>
      </c>
      <c r="E21" t="s">
        <v>10</v>
      </c>
      <c r="F21" s="1">
        <v>65716498</v>
      </c>
      <c r="G21">
        <v>7125</v>
      </c>
      <c r="H21">
        <v>3984</v>
      </c>
      <c r="I21">
        <v>0.226041781806124</v>
      </c>
      <c r="J21" s="2">
        <v>1940.0000000000196</v>
      </c>
      <c r="K21">
        <v>0.35990276356192402</v>
      </c>
      <c r="L21" t="s">
        <v>15</v>
      </c>
    </row>
    <row r="22" spans="1:12" x14ac:dyDescent="0.3">
      <c r="A22">
        <v>3</v>
      </c>
      <c r="B22" t="s">
        <v>56</v>
      </c>
      <c r="C22" t="s">
        <v>8</v>
      </c>
      <c r="D22" t="s">
        <v>13</v>
      </c>
      <c r="E22" t="s">
        <v>10</v>
      </c>
      <c r="F22" s="1">
        <v>61555539</v>
      </c>
      <c r="G22">
        <v>7157</v>
      </c>
      <c r="H22">
        <v>3935</v>
      </c>
      <c r="I22">
        <v>0.22012362637362601</v>
      </c>
      <c r="J22" s="2">
        <v>1962.0000000000027</v>
      </c>
      <c r="K22">
        <v>0.32052267486548802</v>
      </c>
      <c r="L22" t="s">
        <v>21</v>
      </c>
    </row>
    <row r="23" spans="1:12" x14ac:dyDescent="0.3">
      <c r="A23">
        <v>3</v>
      </c>
      <c r="B23" t="s">
        <v>56</v>
      </c>
      <c r="C23" t="s">
        <v>9</v>
      </c>
      <c r="D23" t="s">
        <v>13</v>
      </c>
      <c r="E23" t="s">
        <v>10</v>
      </c>
      <c r="F23" s="1">
        <v>47965701</v>
      </c>
      <c r="G23">
        <v>4732</v>
      </c>
      <c r="H23">
        <v>5445.5</v>
      </c>
      <c r="I23">
        <v>0.221046547950742</v>
      </c>
      <c r="J23" s="2">
        <v>2701.9999999999886</v>
      </c>
      <c r="K23">
        <v>0.31755665310184</v>
      </c>
      <c r="L23" t="s">
        <v>22</v>
      </c>
    </row>
    <row r="24" spans="1:12" x14ac:dyDescent="0.3">
      <c r="A24">
        <v>3</v>
      </c>
      <c r="B24" t="s">
        <v>56</v>
      </c>
      <c r="C24" t="s">
        <v>9</v>
      </c>
      <c r="D24" t="s">
        <v>14</v>
      </c>
      <c r="E24" t="s">
        <v>10</v>
      </c>
      <c r="F24" s="1">
        <v>115531039</v>
      </c>
      <c r="G24">
        <v>7927</v>
      </c>
      <c r="H24">
        <v>7465</v>
      </c>
      <c r="I24">
        <v>0.223978685612789</v>
      </c>
      <c r="J24" s="2">
        <v>3597.9999999999795</v>
      </c>
      <c r="K24">
        <v>0.43443758659780801</v>
      </c>
      <c r="L24" t="s">
        <v>16</v>
      </c>
    </row>
    <row r="25" spans="1:12" x14ac:dyDescent="0.3">
      <c r="A25">
        <v>3</v>
      </c>
      <c r="B25" t="s">
        <v>56</v>
      </c>
      <c r="C25" t="s">
        <v>7</v>
      </c>
      <c r="D25" t="s">
        <v>13</v>
      </c>
      <c r="E25" t="s">
        <v>5</v>
      </c>
      <c r="F25" s="1">
        <v>69347369</v>
      </c>
      <c r="G25">
        <v>3450</v>
      </c>
      <c r="H25">
        <v>10566</v>
      </c>
      <c r="I25">
        <v>0.21227653009508701</v>
      </c>
      <c r="J25" s="2">
        <v>4895.0000000000391</v>
      </c>
      <c r="K25">
        <v>0.43391771111911398</v>
      </c>
      <c r="L25" t="s">
        <v>17</v>
      </c>
    </row>
    <row r="26" spans="1:12" x14ac:dyDescent="0.3">
      <c r="A26">
        <v>3</v>
      </c>
      <c r="B26" t="s">
        <v>56</v>
      </c>
      <c r="C26" t="s">
        <v>7</v>
      </c>
      <c r="D26" t="s">
        <v>14</v>
      </c>
      <c r="E26" t="s">
        <v>5</v>
      </c>
      <c r="F26" s="1">
        <v>122722125</v>
      </c>
      <c r="G26">
        <v>7125</v>
      </c>
      <c r="H26">
        <v>8410</v>
      </c>
      <c r="I26">
        <v>0.212394705174489</v>
      </c>
      <c r="J26" s="2">
        <v>3984.9999999999905</v>
      </c>
      <c r="K26">
        <v>0.50172159370388603</v>
      </c>
      <c r="L26" t="s">
        <v>23</v>
      </c>
    </row>
    <row r="27" spans="1:12" x14ac:dyDescent="0.3">
      <c r="A27">
        <v>3</v>
      </c>
      <c r="B27" t="s">
        <v>56</v>
      </c>
      <c r="C27" t="s">
        <v>8</v>
      </c>
      <c r="D27" t="s">
        <v>13</v>
      </c>
      <c r="E27" t="s">
        <v>5</v>
      </c>
      <c r="F27" s="1">
        <v>190480080</v>
      </c>
      <c r="G27">
        <v>7157</v>
      </c>
      <c r="H27">
        <v>12571</v>
      </c>
      <c r="I27">
        <v>0.21189606860830401</v>
      </c>
      <c r="J27" s="2">
        <v>5974.0000000000045</v>
      </c>
      <c r="K27">
        <v>0.51845802025481902</v>
      </c>
      <c r="L27" t="s">
        <v>18</v>
      </c>
    </row>
    <row r="28" spans="1:12" x14ac:dyDescent="0.3">
      <c r="A28">
        <v>3</v>
      </c>
      <c r="B28" t="s">
        <v>56</v>
      </c>
      <c r="C28" t="s">
        <v>9</v>
      </c>
      <c r="D28" t="s">
        <v>13</v>
      </c>
      <c r="E28" t="s">
        <v>5</v>
      </c>
      <c r="F28" s="1">
        <v>109474606</v>
      </c>
      <c r="G28">
        <v>4732</v>
      </c>
      <c r="H28">
        <v>12055</v>
      </c>
      <c r="I28">
        <v>0.220584238990611</v>
      </c>
      <c r="J28" s="2">
        <v>5653.0000000000282</v>
      </c>
      <c r="K28">
        <v>0.41968628284012799</v>
      </c>
      <c r="L28" t="s">
        <v>19</v>
      </c>
    </row>
    <row r="29" spans="1:12" x14ac:dyDescent="0.3">
      <c r="A29">
        <v>3</v>
      </c>
      <c r="B29" t="s">
        <v>56</v>
      </c>
      <c r="C29" t="s">
        <v>9</v>
      </c>
      <c r="D29" t="s">
        <v>14</v>
      </c>
      <c r="E29" t="s">
        <v>5</v>
      </c>
      <c r="F29" s="1">
        <v>157367187</v>
      </c>
      <c r="G29">
        <v>7927</v>
      </c>
      <c r="H29">
        <v>10465</v>
      </c>
      <c r="I29">
        <v>0.21996605268121</v>
      </c>
      <c r="J29" s="2">
        <v>4884.9999999999809</v>
      </c>
      <c r="K29">
        <v>0.52036547776310005</v>
      </c>
      <c r="L29" t="s">
        <v>25</v>
      </c>
    </row>
    <row r="30" spans="1:12" x14ac:dyDescent="0.3">
      <c r="C30" t="s">
        <v>28</v>
      </c>
      <c r="F30" s="1">
        <f>SUM(F20:F29)</f>
        <v>959141391</v>
      </c>
      <c r="G30" s="1">
        <f>SUM(G20:G24)</f>
        <v>30391</v>
      </c>
      <c r="J30" s="2"/>
    </row>
    <row r="31" spans="1:12" x14ac:dyDescent="0.3">
      <c r="J31" s="2"/>
    </row>
    <row r="32" spans="1:12" x14ac:dyDescent="0.3">
      <c r="A32">
        <v>4</v>
      </c>
      <c r="B32" t="s">
        <v>57</v>
      </c>
      <c r="C32" t="s">
        <v>7</v>
      </c>
      <c r="D32" t="s">
        <v>13</v>
      </c>
      <c r="E32" t="s">
        <v>10</v>
      </c>
      <c r="F32" s="1">
        <v>117619082</v>
      </c>
      <c r="G32">
        <v>6135</v>
      </c>
      <c r="H32">
        <v>6774</v>
      </c>
      <c r="I32">
        <v>0.355243044940385</v>
      </c>
      <c r="J32" s="2">
        <v>2244.9999999999927</v>
      </c>
      <c r="K32">
        <v>0.38155527881555301</v>
      </c>
      <c r="L32" t="s">
        <v>20</v>
      </c>
    </row>
    <row r="33" spans="1:12" x14ac:dyDescent="0.3">
      <c r="A33">
        <v>4</v>
      </c>
      <c r="B33" t="s">
        <v>57</v>
      </c>
      <c r="C33" t="s">
        <v>7</v>
      </c>
      <c r="D33" t="s">
        <v>14</v>
      </c>
      <c r="E33" t="s">
        <v>10</v>
      </c>
      <c r="F33" s="1">
        <v>165878090</v>
      </c>
      <c r="G33">
        <v>6785</v>
      </c>
      <c r="H33">
        <v>10371</v>
      </c>
      <c r="I33">
        <v>0.35540155921296901</v>
      </c>
      <c r="J33" s="2">
        <v>3414.9999999999945</v>
      </c>
      <c r="K33">
        <v>0.38682004289335198</v>
      </c>
      <c r="L33" t="s">
        <v>15</v>
      </c>
    </row>
    <row r="34" spans="1:12" x14ac:dyDescent="0.3">
      <c r="A34">
        <v>4</v>
      </c>
      <c r="B34" t="s">
        <v>57</v>
      </c>
      <c r="C34" t="s">
        <v>8</v>
      </c>
      <c r="D34" t="s">
        <v>13</v>
      </c>
      <c r="E34" t="s">
        <v>10</v>
      </c>
      <c r="F34" s="1">
        <v>56620255</v>
      </c>
      <c r="G34">
        <v>6267</v>
      </c>
      <c r="H34">
        <v>3946</v>
      </c>
      <c r="I34">
        <v>0.36641221374045801</v>
      </c>
      <c r="J34" s="2">
        <v>1313.0000000000032</v>
      </c>
      <c r="K34">
        <v>0.334802904564315</v>
      </c>
      <c r="L34" t="s">
        <v>21</v>
      </c>
    </row>
    <row r="35" spans="1:12" x14ac:dyDescent="0.3">
      <c r="A35">
        <v>4</v>
      </c>
      <c r="B35" t="s">
        <v>57</v>
      </c>
      <c r="C35" t="s">
        <v>8</v>
      </c>
      <c r="D35" t="s">
        <v>14</v>
      </c>
      <c r="E35" t="s">
        <v>10</v>
      </c>
      <c r="F35" s="1">
        <v>120408720</v>
      </c>
      <c r="G35">
        <v>7918</v>
      </c>
      <c r="H35">
        <v>8178</v>
      </c>
      <c r="I35">
        <v>0.33437567883701902</v>
      </c>
      <c r="J35" s="2">
        <v>2931.4999573596947</v>
      </c>
      <c r="K35">
        <v>0.40726659553105099</v>
      </c>
      <c r="L35" t="s">
        <v>16</v>
      </c>
    </row>
    <row r="36" spans="1:12" x14ac:dyDescent="0.3">
      <c r="A36">
        <v>4</v>
      </c>
      <c r="B36" t="s">
        <v>57</v>
      </c>
      <c r="C36" t="s">
        <v>9</v>
      </c>
      <c r="D36" t="s">
        <v>13</v>
      </c>
      <c r="E36" t="s">
        <v>10</v>
      </c>
      <c r="F36" s="1">
        <v>109245169</v>
      </c>
      <c r="G36">
        <v>5378</v>
      </c>
      <c r="H36">
        <v>8457</v>
      </c>
      <c r="I36">
        <v>0.37088851755160801</v>
      </c>
      <c r="J36" s="2">
        <v>2707.499953831973</v>
      </c>
      <c r="K36">
        <v>0.39090670708113401</v>
      </c>
      <c r="L36" t="s">
        <v>22</v>
      </c>
    </row>
    <row r="37" spans="1:12" x14ac:dyDescent="0.3">
      <c r="A37">
        <v>4</v>
      </c>
      <c r="B37" t="s">
        <v>57</v>
      </c>
      <c r="C37" t="s">
        <v>9</v>
      </c>
      <c r="D37" t="s">
        <v>14</v>
      </c>
      <c r="E37" t="s">
        <v>10</v>
      </c>
      <c r="F37" s="1">
        <v>80808269</v>
      </c>
      <c r="G37">
        <v>4322</v>
      </c>
      <c r="H37">
        <v>7905.5</v>
      </c>
      <c r="I37">
        <v>0.35749257788648098</v>
      </c>
      <c r="J37" s="2">
        <v>2687.999813988059</v>
      </c>
      <c r="K37">
        <v>0.34192919045129899</v>
      </c>
      <c r="L37" t="s">
        <v>26</v>
      </c>
    </row>
    <row r="38" spans="1:12" x14ac:dyDescent="0.3">
      <c r="A38">
        <v>4</v>
      </c>
      <c r="B38" t="s">
        <v>57</v>
      </c>
      <c r="C38" t="s">
        <v>7</v>
      </c>
      <c r="D38" t="s">
        <v>13</v>
      </c>
      <c r="E38" t="s">
        <v>5</v>
      </c>
      <c r="F38" s="1">
        <v>66233075</v>
      </c>
      <c r="G38">
        <v>6135</v>
      </c>
      <c r="H38">
        <v>4797</v>
      </c>
      <c r="I38">
        <v>0.37020977381928999</v>
      </c>
      <c r="J38" s="2">
        <v>1627.0000000000059</v>
      </c>
      <c r="K38">
        <v>0.45047619047618997</v>
      </c>
      <c r="L38" t="s">
        <v>17</v>
      </c>
    </row>
    <row r="39" spans="1:12" x14ac:dyDescent="0.3">
      <c r="A39">
        <v>4</v>
      </c>
      <c r="B39" t="s">
        <v>57</v>
      </c>
      <c r="C39" t="s">
        <v>7</v>
      </c>
      <c r="D39" t="s">
        <v>14</v>
      </c>
      <c r="E39" t="s">
        <v>5</v>
      </c>
      <c r="F39" s="1">
        <v>66327547</v>
      </c>
      <c r="G39">
        <v>6785</v>
      </c>
      <c r="H39">
        <v>4690</v>
      </c>
      <c r="I39">
        <v>0.367088607594937</v>
      </c>
      <c r="J39" s="2">
        <v>1611.000000000008</v>
      </c>
      <c r="K39">
        <v>0.45123209908398898</v>
      </c>
      <c r="L39" t="s">
        <v>23</v>
      </c>
    </row>
    <row r="40" spans="1:12" x14ac:dyDescent="0.3">
      <c r="A40">
        <v>4</v>
      </c>
      <c r="B40" t="s">
        <v>57</v>
      </c>
      <c r="C40" t="s">
        <v>8</v>
      </c>
      <c r="D40" t="s">
        <v>13</v>
      </c>
      <c r="E40" t="s">
        <v>5</v>
      </c>
      <c r="F40" s="1">
        <v>87161088</v>
      </c>
      <c r="G40">
        <v>6267</v>
      </c>
      <c r="H40">
        <v>6343</v>
      </c>
      <c r="I40">
        <v>0.351629169899147</v>
      </c>
      <c r="J40" s="2">
        <v>2159.9999999999955</v>
      </c>
      <c r="K40">
        <v>0.41623155505107801</v>
      </c>
      <c r="L40" t="s">
        <v>18</v>
      </c>
    </row>
    <row r="41" spans="1:12" x14ac:dyDescent="0.3">
      <c r="A41">
        <v>4</v>
      </c>
      <c r="B41" t="s">
        <v>57</v>
      </c>
      <c r="C41" t="s">
        <v>8</v>
      </c>
      <c r="D41" t="s">
        <v>14</v>
      </c>
      <c r="E41" t="s">
        <v>5</v>
      </c>
      <c r="F41" s="1">
        <v>160558016</v>
      </c>
      <c r="G41">
        <v>7918</v>
      </c>
      <c r="H41">
        <v>11197</v>
      </c>
      <c r="I41">
        <v>0.35866621858609599</v>
      </c>
      <c r="J41" s="2">
        <v>3682.0000000000373</v>
      </c>
      <c r="K41">
        <v>0.47085150768996598</v>
      </c>
      <c r="L41" t="s">
        <v>24</v>
      </c>
    </row>
    <row r="42" spans="1:12" x14ac:dyDescent="0.3">
      <c r="A42">
        <v>4</v>
      </c>
      <c r="B42" t="s">
        <v>57</v>
      </c>
      <c r="C42" t="s">
        <v>9</v>
      </c>
      <c r="D42" t="s">
        <v>13</v>
      </c>
      <c r="E42" t="s">
        <v>5</v>
      </c>
      <c r="F42" s="1">
        <v>45037456</v>
      </c>
      <c r="G42">
        <v>5378</v>
      </c>
      <c r="H42">
        <v>2852</v>
      </c>
      <c r="I42">
        <v>0.369644954810251</v>
      </c>
      <c r="J42" s="2">
        <v>980.49987251401171</v>
      </c>
      <c r="K42">
        <v>0.42749764595103601</v>
      </c>
      <c r="L42" t="s">
        <v>19</v>
      </c>
    </row>
    <row r="43" spans="1:12" x14ac:dyDescent="0.3">
      <c r="A43">
        <v>4</v>
      </c>
      <c r="B43" t="s">
        <v>57</v>
      </c>
      <c r="C43" t="s">
        <v>9</v>
      </c>
      <c r="D43" t="s">
        <v>14</v>
      </c>
      <c r="E43" t="s">
        <v>5</v>
      </c>
      <c r="F43" s="1">
        <v>46804195</v>
      </c>
      <c r="G43">
        <v>4322</v>
      </c>
      <c r="H43">
        <v>3420</v>
      </c>
      <c r="I43">
        <v>0.37562827006190402</v>
      </c>
      <c r="J43" s="2">
        <v>1147.0000000000066</v>
      </c>
      <c r="K43">
        <v>0.44332897971437302</v>
      </c>
      <c r="L43" t="s">
        <v>25</v>
      </c>
    </row>
    <row r="44" spans="1:12" x14ac:dyDescent="0.3">
      <c r="C44" t="s">
        <v>28</v>
      </c>
      <c r="F44" s="1">
        <f>SUM(F32:F43)</f>
        <v>1122700962</v>
      </c>
      <c r="G44" s="1">
        <f>SUM(G32:G37)</f>
        <v>36805</v>
      </c>
    </row>
    <row r="46" spans="1:12" x14ac:dyDescent="0.3">
      <c r="A46" t="s">
        <v>36</v>
      </c>
      <c r="B46" t="s">
        <v>58</v>
      </c>
      <c r="C46" t="s">
        <v>32</v>
      </c>
      <c r="D46" t="s">
        <v>13</v>
      </c>
      <c r="E46" t="s">
        <v>10</v>
      </c>
      <c r="F46" s="1">
        <v>144904200</v>
      </c>
      <c r="G46">
        <v>6599</v>
      </c>
      <c r="H46">
        <v>11605</v>
      </c>
      <c r="I46">
        <v>0.231300027601435</v>
      </c>
      <c r="J46">
        <v>3.7771367125041699</v>
      </c>
      <c r="K46">
        <v>0.46160473882606401</v>
      </c>
      <c r="L46" s="3" t="s">
        <v>17</v>
      </c>
    </row>
    <row r="47" spans="1:12" x14ac:dyDescent="0.3">
      <c r="A47" t="s">
        <v>36</v>
      </c>
      <c r="B47" t="s">
        <v>58</v>
      </c>
      <c r="C47" t="s">
        <v>33</v>
      </c>
      <c r="D47" t="s">
        <v>13</v>
      </c>
      <c r="E47" t="s">
        <v>10</v>
      </c>
      <c r="F47" s="1">
        <v>110423412</v>
      </c>
      <c r="G47">
        <v>6033</v>
      </c>
      <c r="H47">
        <v>8276</v>
      </c>
      <c r="I47">
        <v>0.22732483163777001</v>
      </c>
      <c r="J47">
        <v>3.6335694425540899</v>
      </c>
      <c r="K47">
        <v>0.44357579877634301</v>
      </c>
      <c r="L47" s="3" t="s">
        <v>19</v>
      </c>
    </row>
    <row r="48" spans="1:12" x14ac:dyDescent="0.3">
      <c r="A48" t="s">
        <v>36</v>
      </c>
      <c r="B48" t="s">
        <v>58</v>
      </c>
      <c r="C48" t="s">
        <v>34</v>
      </c>
      <c r="D48" t="s">
        <v>13</v>
      </c>
      <c r="E48" t="s">
        <v>10</v>
      </c>
      <c r="F48" s="1">
        <v>122618966</v>
      </c>
      <c r="G48">
        <v>5023</v>
      </c>
      <c r="H48">
        <v>10951</v>
      </c>
      <c r="I48">
        <v>0.22890159915956601</v>
      </c>
      <c r="J48">
        <v>3.74958173486556</v>
      </c>
      <c r="K48">
        <v>0.42821407795229799</v>
      </c>
      <c r="L48" s="3" t="s">
        <v>18</v>
      </c>
    </row>
    <row r="49" spans="1:12" x14ac:dyDescent="0.3">
      <c r="A49" t="s">
        <v>36</v>
      </c>
      <c r="B49" t="s">
        <v>58</v>
      </c>
      <c r="C49" t="s">
        <v>32</v>
      </c>
      <c r="D49" t="s">
        <v>13</v>
      </c>
      <c r="E49" t="s">
        <v>5</v>
      </c>
      <c r="F49" s="1">
        <v>70910586</v>
      </c>
      <c r="G49">
        <v>6599</v>
      </c>
      <c r="H49">
        <v>5482</v>
      </c>
      <c r="I49">
        <v>0.229945834408047</v>
      </c>
      <c r="J49">
        <v>3.4523998459114398</v>
      </c>
      <c r="K49">
        <v>0.46635054844606899</v>
      </c>
      <c r="L49" s="3" t="s">
        <v>23</v>
      </c>
    </row>
    <row r="50" spans="1:12" x14ac:dyDescent="0.3">
      <c r="A50" t="s">
        <v>36</v>
      </c>
      <c r="B50" t="s">
        <v>58</v>
      </c>
      <c r="C50" t="s">
        <v>33</v>
      </c>
      <c r="D50" t="s">
        <v>13</v>
      </c>
      <c r="E50" t="s">
        <v>5</v>
      </c>
      <c r="F50" s="1">
        <v>81116996</v>
      </c>
      <c r="G50">
        <v>6033</v>
      </c>
      <c r="H50">
        <v>6214</v>
      </c>
      <c r="I50">
        <v>0.23138686131386901</v>
      </c>
      <c r="J50">
        <v>3.5089335260500301</v>
      </c>
      <c r="K50">
        <v>0.464512453198763</v>
      </c>
      <c r="L50" s="3" t="s">
        <v>25</v>
      </c>
    </row>
    <row r="51" spans="1:12" x14ac:dyDescent="0.3">
      <c r="A51" t="s">
        <v>36</v>
      </c>
      <c r="B51" t="s">
        <v>58</v>
      </c>
      <c r="C51" t="s">
        <v>34</v>
      </c>
      <c r="D51" t="s">
        <v>13</v>
      </c>
      <c r="E51" t="s">
        <v>5</v>
      </c>
      <c r="F51" s="1">
        <v>53195861</v>
      </c>
      <c r="G51">
        <v>5023</v>
      </c>
      <c r="H51">
        <v>4541</v>
      </c>
      <c r="I51">
        <v>0.22939979654119999</v>
      </c>
      <c r="J51">
        <v>3.3653007486379898</v>
      </c>
      <c r="K51">
        <v>0.363600317208565</v>
      </c>
      <c r="L51" s="3" t="s">
        <v>24</v>
      </c>
    </row>
    <row r="52" spans="1:12" x14ac:dyDescent="0.3">
      <c r="C52" t="s">
        <v>35</v>
      </c>
      <c r="F52" s="1">
        <f>SUM(F46:F51)</f>
        <v>583170021</v>
      </c>
      <c r="G52">
        <f>SUM(G46:G48)</f>
        <v>17655</v>
      </c>
    </row>
    <row r="54" spans="1:12" x14ac:dyDescent="0.3">
      <c r="A54" t="s">
        <v>37</v>
      </c>
      <c r="B54" t="s">
        <v>58</v>
      </c>
      <c r="C54" t="s">
        <v>32</v>
      </c>
      <c r="D54" t="s">
        <v>14</v>
      </c>
      <c r="E54" t="s">
        <v>10</v>
      </c>
      <c r="F54" s="1">
        <v>141147584</v>
      </c>
      <c r="G54">
        <v>5716</v>
      </c>
      <c r="H54">
        <v>10517</v>
      </c>
      <c r="I54">
        <v>0.19913873766110099</v>
      </c>
      <c r="J54">
        <v>3.7441755886077099</v>
      </c>
      <c r="K54">
        <v>0.48197740018319102</v>
      </c>
      <c r="L54" s="3" t="s">
        <v>18</v>
      </c>
    </row>
    <row r="55" spans="1:12" x14ac:dyDescent="0.3">
      <c r="A55" t="s">
        <v>37</v>
      </c>
      <c r="B55" t="s">
        <v>58</v>
      </c>
      <c r="C55" t="s">
        <v>33</v>
      </c>
      <c r="D55" t="s">
        <v>14</v>
      </c>
      <c r="E55" t="s">
        <v>10</v>
      </c>
      <c r="F55" s="1">
        <v>92930467</v>
      </c>
      <c r="G55">
        <v>5105</v>
      </c>
      <c r="H55">
        <v>7320</v>
      </c>
      <c r="I55">
        <v>0.196137378154323</v>
      </c>
      <c r="J55">
        <v>3.5925098479006801</v>
      </c>
      <c r="K55">
        <v>0.41947992700729902</v>
      </c>
      <c r="L55" s="3" t="s">
        <v>17</v>
      </c>
    </row>
    <row r="56" spans="1:12" x14ac:dyDescent="0.3">
      <c r="A56" t="s">
        <v>37</v>
      </c>
      <c r="B56" t="s">
        <v>58</v>
      </c>
      <c r="C56" t="s">
        <v>34</v>
      </c>
      <c r="D56" t="s">
        <v>14</v>
      </c>
      <c r="E56" t="s">
        <v>10</v>
      </c>
      <c r="F56" s="1">
        <v>109662098</v>
      </c>
      <c r="G56">
        <v>5488</v>
      </c>
      <c r="H56">
        <v>8049.5</v>
      </c>
      <c r="I56">
        <v>0.2001654277827</v>
      </c>
      <c r="J56">
        <v>3.6326091139132899</v>
      </c>
      <c r="K56">
        <v>0.44862824858178602</v>
      </c>
      <c r="L56" s="3" t="s">
        <v>19</v>
      </c>
    </row>
    <row r="57" spans="1:12" x14ac:dyDescent="0.3">
      <c r="A57" t="s">
        <v>37</v>
      </c>
      <c r="B57" t="s">
        <v>58</v>
      </c>
      <c r="C57" t="s">
        <v>32</v>
      </c>
      <c r="D57" t="s">
        <v>14</v>
      </c>
      <c r="E57" t="s">
        <v>5</v>
      </c>
      <c r="F57" s="1">
        <v>63347345</v>
      </c>
      <c r="G57">
        <v>5716</v>
      </c>
      <c r="H57">
        <v>4795</v>
      </c>
      <c r="I57">
        <v>0.19575292466861</v>
      </c>
      <c r="J57">
        <v>3.4072208929274002</v>
      </c>
      <c r="K57">
        <v>0.40971182897810698</v>
      </c>
      <c r="L57" s="3" t="s">
        <v>24</v>
      </c>
    </row>
    <row r="58" spans="1:12" x14ac:dyDescent="0.3">
      <c r="A58" t="s">
        <v>37</v>
      </c>
      <c r="B58" t="s">
        <v>58</v>
      </c>
      <c r="C58" t="s">
        <v>33</v>
      </c>
      <c r="D58" t="s">
        <v>14</v>
      </c>
      <c r="E58" t="s">
        <v>5</v>
      </c>
      <c r="F58" s="1">
        <v>79997197</v>
      </c>
      <c r="G58">
        <v>5105</v>
      </c>
      <c r="H58">
        <v>6287</v>
      </c>
      <c r="I58">
        <v>0.20122699386503101</v>
      </c>
      <c r="J58">
        <v>3.52413637659257</v>
      </c>
      <c r="K58">
        <v>0.459555299980832</v>
      </c>
      <c r="L58" s="3" t="s">
        <v>23</v>
      </c>
    </row>
    <row r="59" spans="1:12" x14ac:dyDescent="0.3">
      <c r="A59" t="s">
        <v>37</v>
      </c>
      <c r="B59" t="s">
        <v>58</v>
      </c>
      <c r="C59" t="s">
        <v>34</v>
      </c>
      <c r="D59" t="s">
        <v>14</v>
      </c>
      <c r="E59" t="s">
        <v>5</v>
      </c>
      <c r="F59" s="1">
        <v>45029582</v>
      </c>
      <c r="G59">
        <v>5488</v>
      </c>
      <c r="H59">
        <v>3267.5</v>
      </c>
      <c r="I59">
        <v>0.19983878462646201</v>
      </c>
      <c r="J59">
        <v>3.2407986994771201</v>
      </c>
      <c r="K59">
        <v>0.40316197383483798</v>
      </c>
      <c r="L59" s="3" t="s">
        <v>25</v>
      </c>
    </row>
    <row r="60" spans="1:12" x14ac:dyDescent="0.3">
      <c r="C60" t="s">
        <v>35</v>
      </c>
      <c r="F60" s="1">
        <f>SUM(F54:F59)</f>
        <v>532114273</v>
      </c>
      <c r="G60">
        <f>SUM(G54:G56)</f>
        <v>16309</v>
      </c>
    </row>
    <row r="62" spans="1:12" x14ac:dyDescent="0.3">
      <c r="A62" t="s">
        <v>41</v>
      </c>
      <c r="B62" t="s">
        <v>59</v>
      </c>
      <c r="C62" t="s">
        <v>38</v>
      </c>
      <c r="D62" t="s">
        <v>13</v>
      </c>
      <c r="E62" t="s">
        <v>10</v>
      </c>
      <c r="F62" s="1">
        <v>96429115</v>
      </c>
      <c r="G62">
        <v>7505</v>
      </c>
      <c r="H62">
        <v>6784</v>
      </c>
      <c r="I62">
        <v>0.22864583333333299</v>
      </c>
      <c r="J62">
        <v>3.5608626947274602</v>
      </c>
      <c r="K62">
        <v>0.45176269901440502</v>
      </c>
      <c r="L62" s="3" t="s">
        <v>22</v>
      </c>
    </row>
    <row r="63" spans="1:12" x14ac:dyDescent="0.3">
      <c r="A63" t="s">
        <v>41</v>
      </c>
      <c r="B63" t="s">
        <v>59</v>
      </c>
      <c r="C63" t="s">
        <v>39</v>
      </c>
      <c r="D63" t="s">
        <v>13</v>
      </c>
      <c r="E63" t="s">
        <v>10</v>
      </c>
      <c r="F63" s="1">
        <v>52538751</v>
      </c>
      <c r="G63">
        <v>6480</v>
      </c>
      <c r="H63">
        <v>3675</v>
      </c>
      <c r="I63">
        <v>0.23008185919771301</v>
      </c>
      <c r="J63">
        <v>3.29666519026153</v>
      </c>
      <c r="K63">
        <v>0.345209314847221</v>
      </c>
      <c r="L63" s="3" t="s">
        <v>44</v>
      </c>
    </row>
    <row r="64" spans="1:12" x14ac:dyDescent="0.3">
      <c r="A64" t="s">
        <v>41</v>
      </c>
      <c r="B64" t="s">
        <v>59</v>
      </c>
      <c r="C64" t="s">
        <v>39</v>
      </c>
      <c r="D64" t="s">
        <v>14</v>
      </c>
      <c r="E64" t="s">
        <v>10</v>
      </c>
      <c r="F64" s="1">
        <v>69054324</v>
      </c>
      <c r="G64">
        <v>7362</v>
      </c>
      <c r="H64">
        <v>4913</v>
      </c>
      <c r="I64">
        <v>0.22936486771350101</v>
      </c>
      <c r="J64">
        <v>3.4234097277330902</v>
      </c>
      <c r="K64">
        <v>0.39754244335375899</v>
      </c>
      <c r="L64" s="3" t="s">
        <v>26</v>
      </c>
    </row>
    <row r="65" spans="1:12" x14ac:dyDescent="0.3">
      <c r="A65" t="s">
        <v>41</v>
      </c>
      <c r="B65" t="s">
        <v>59</v>
      </c>
      <c r="C65" t="s">
        <v>39</v>
      </c>
      <c r="D65" t="s">
        <v>40</v>
      </c>
      <c r="E65" t="s">
        <v>10</v>
      </c>
      <c r="F65" s="1">
        <v>64028391</v>
      </c>
      <c r="G65">
        <v>7174</v>
      </c>
      <c r="H65">
        <v>4514</v>
      </c>
      <c r="I65">
        <v>0.22970229495147301</v>
      </c>
      <c r="J65">
        <v>3.3867664065727801</v>
      </c>
      <c r="K65">
        <v>0.36375921675838302</v>
      </c>
      <c r="L65" s="3" t="s">
        <v>45</v>
      </c>
    </row>
    <row r="66" spans="1:12" x14ac:dyDescent="0.3">
      <c r="A66" t="s">
        <v>41</v>
      </c>
      <c r="B66" t="s">
        <v>59</v>
      </c>
      <c r="C66" t="s">
        <v>38</v>
      </c>
      <c r="D66" t="s">
        <v>13</v>
      </c>
      <c r="E66" t="s">
        <v>5</v>
      </c>
      <c r="F66" s="1">
        <v>94579445</v>
      </c>
      <c r="G66">
        <v>7505</v>
      </c>
      <c r="H66">
        <v>6435</v>
      </c>
      <c r="I66">
        <v>0.227820498106278</v>
      </c>
      <c r="J66">
        <v>3.5418287667813102</v>
      </c>
      <c r="K66">
        <v>0.52486559139784905</v>
      </c>
      <c r="L66" s="3" t="s">
        <v>24</v>
      </c>
    </row>
    <row r="67" spans="1:12" x14ac:dyDescent="0.3">
      <c r="A67" t="s">
        <v>41</v>
      </c>
      <c r="B67" t="s">
        <v>59</v>
      </c>
      <c r="C67" t="s">
        <v>39</v>
      </c>
      <c r="D67" t="s">
        <v>13</v>
      </c>
      <c r="E67" t="s">
        <v>5</v>
      </c>
      <c r="F67" s="1">
        <v>68037244</v>
      </c>
      <c r="G67">
        <v>6480</v>
      </c>
      <c r="H67">
        <v>4618</v>
      </c>
      <c r="I67">
        <v>0.22476770398236601</v>
      </c>
      <c r="J67">
        <v>3.40200330054483</v>
      </c>
      <c r="K67">
        <v>0.47065627556360901</v>
      </c>
      <c r="L67" s="3" t="s">
        <v>23</v>
      </c>
    </row>
    <row r="68" spans="1:12" x14ac:dyDescent="0.3">
      <c r="A68" t="s">
        <v>41</v>
      </c>
      <c r="B68" t="s">
        <v>59</v>
      </c>
      <c r="C68" t="s">
        <v>39</v>
      </c>
      <c r="D68" t="s">
        <v>14</v>
      </c>
      <c r="E68" t="s">
        <v>5</v>
      </c>
      <c r="F68" s="1">
        <v>95046839</v>
      </c>
      <c r="G68">
        <v>7362</v>
      </c>
      <c r="H68">
        <v>6560.5</v>
      </c>
      <c r="I68">
        <v>0.22751207528603001</v>
      </c>
      <c r="J68">
        <v>3.55028951267836</v>
      </c>
      <c r="K68">
        <v>0.50820465524423897</v>
      </c>
      <c r="L68" s="3" t="s">
        <v>19</v>
      </c>
    </row>
    <row r="69" spans="1:12" x14ac:dyDescent="0.3">
      <c r="A69" t="s">
        <v>41</v>
      </c>
      <c r="B69" t="s">
        <v>59</v>
      </c>
      <c r="C69" t="s">
        <v>39</v>
      </c>
      <c r="D69" t="s">
        <v>40</v>
      </c>
      <c r="E69" t="s">
        <v>5</v>
      </c>
      <c r="F69" s="1">
        <v>92532898</v>
      </c>
      <c r="G69">
        <v>7174</v>
      </c>
      <c r="H69">
        <v>6345</v>
      </c>
      <c r="I69">
        <v>0.22764445946990899</v>
      </c>
      <c r="J69">
        <v>3.5373782416981601</v>
      </c>
      <c r="K69">
        <v>0.50113040540732301</v>
      </c>
      <c r="L69" s="3" t="s">
        <v>23</v>
      </c>
    </row>
    <row r="70" spans="1:12" x14ac:dyDescent="0.3">
      <c r="C70" t="s">
        <v>35</v>
      </c>
      <c r="F70" s="1">
        <f>SUM(F62:F69)</f>
        <v>632247007</v>
      </c>
      <c r="G70">
        <f>SUM(G62:G65)</f>
        <v>28521</v>
      </c>
    </row>
    <row r="72" spans="1:12" x14ac:dyDescent="0.3">
      <c r="A72" t="s">
        <v>42</v>
      </c>
      <c r="B72" t="s">
        <v>59</v>
      </c>
      <c r="C72" t="s">
        <v>38</v>
      </c>
      <c r="D72" t="s">
        <v>14</v>
      </c>
      <c r="E72" t="s">
        <v>10</v>
      </c>
      <c r="F72" s="1">
        <v>89393453</v>
      </c>
      <c r="G72">
        <v>7849</v>
      </c>
      <c r="H72">
        <v>5699</v>
      </c>
      <c r="I72">
        <v>0.23385897054448099</v>
      </c>
      <c r="J72">
        <v>3.4772659954248502</v>
      </c>
      <c r="K72">
        <v>0.409233176838811</v>
      </c>
      <c r="L72" s="3" t="s">
        <v>24</v>
      </c>
    </row>
    <row r="73" spans="1:12" x14ac:dyDescent="0.3">
      <c r="A73" t="s">
        <v>42</v>
      </c>
      <c r="B73" t="s">
        <v>59</v>
      </c>
      <c r="C73" t="s">
        <v>43</v>
      </c>
      <c r="D73" t="s">
        <v>13</v>
      </c>
      <c r="E73" t="s">
        <v>10</v>
      </c>
      <c r="F73" s="1">
        <v>84360415</v>
      </c>
      <c r="G73">
        <v>7607</v>
      </c>
      <c r="H73">
        <v>5378</v>
      </c>
      <c r="I73">
        <v>0.23246073298429301</v>
      </c>
      <c r="J73">
        <v>3.4619484952037598</v>
      </c>
      <c r="K73">
        <v>0.44855358316896798</v>
      </c>
      <c r="L73" s="3" t="s">
        <v>23</v>
      </c>
    </row>
    <row r="74" spans="1:12" x14ac:dyDescent="0.3">
      <c r="A74" t="s">
        <v>42</v>
      </c>
      <c r="B74" t="s">
        <v>59</v>
      </c>
      <c r="C74" t="s">
        <v>43</v>
      </c>
      <c r="D74" t="s">
        <v>14</v>
      </c>
      <c r="E74" t="s">
        <v>10</v>
      </c>
      <c r="F74" s="1">
        <v>108806711</v>
      </c>
      <c r="G74">
        <v>7750</v>
      </c>
      <c r="H74">
        <v>6763.5</v>
      </c>
      <c r="I74">
        <v>0.23662745945205499</v>
      </c>
      <c r="J74">
        <v>3.55618184665291</v>
      </c>
      <c r="K74">
        <v>0.46244338130427698</v>
      </c>
      <c r="L74" s="3" t="s">
        <v>19</v>
      </c>
    </row>
    <row r="75" spans="1:12" x14ac:dyDescent="0.3">
      <c r="A75" t="s">
        <v>42</v>
      </c>
      <c r="B75" t="s">
        <v>59</v>
      </c>
      <c r="C75" t="s">
        <v>43</v>
      </c>
      <c r="D75" t="s">
        <v>40</v>
      </c>
      <c r="E75" t="s">
        <v>10</v>
      </c>
      <c r="F75" s="1">
        <v>112727454</v>
      </c>
      <c r="G75">
        <v>8373</v>
      </c>
      <c r="H75">
        <v>7223</v>
      </c>
      <c r="I75">
        <v>0.23498217061351401</v>
      </c>
      <c r="J75">
        <v>3.5859117103194298</v>
      </c>
      <c r="K75">
        <v>0.47351916376306602</v>
      </c>
      <c r="L75" s="3" t="s">
        <v>23</v>
      </c>
    </row>
    <row r="76" spans="1:12" x14ac:dyDescent="0.3">
      <c r="A76" t="s">
        <v>42</v>
      </c>
      <c r="B76" t="s">
        <v>59</v>
      </c>
      <c r="C76" t="s">
        <v>38</v>
      </c>
      <c r="D76" t="s">
        <v>14</v>
      </c>
      <c r="E76" t="s">
        <v>5</v>
      </c>
      <c r="F76" s="1">
        <v>90213476</v>
      </c>
      <c r="G76">
        <v>7849</v>
      </c>
      <c r="H76">
        <v>5580</v>
      </c>
      <c r="I76">
        <v>0.23525127458120901</v>
      </c>
      <c r="J76">
        <v>3.4690852991231198</v>
      </c>
      <c r="K76">
        <v>0.498142989786444</v>
      </c>
      <c r="L76" s="3" t="s">
        <v>22</v>
      </c>
    </row>
    <row r="77" spans="1:12" x14ac:dyDescent="0.3">
      <c r="A77" t="s">
        <v>42</v>
      </c>
      <c r="B77" t="s">
        <v>59</v>
      </c>
      <c r="C77" t="s">
        <v>43</v>
      </c>
      <c r="D77" t="s">
        <v>13</v>
      </c>
      <c r="E77" t="s">
        <v>5</v>
      </c>
      <c r="F77" s="1">
        <v>77013617</v>
      </c>
      <c r="G77">
        <v>7607</v>
      </c>
      <c r="H77">
        <v>4721</v>
      </c>
      <c r="I77">
        <v>0.239402900999859</v>
      </c>
      <c r="J77">
        <v>3.3975924340381201</v>
      </c>
      <c r="K77">
        <v>0.49160261884429302</v>
      </c>
      <c r="L77" s="3" t="s">
        <v>44</v>
      </c>
    </row>
    <row r="78" spans="1:12" x14ac:dyDescent="0.3">
      <c r="A78" t="s">
        <v>42</v>
      </c>
      <c r="B78" t="s">
        <v>59</v>
      </c>
      <c r="C78" t="s">
        <v>43</v>
      </c>
      <c r="D78" t="s">
        <v>14</v>
      </c>
      <c r="E78" t="s">
        <v>5</v>
      </c>
      <c r="F78" s="1">
        <v>73975746</v>
      </c>
      <c r="G78">
        <v>7750</v>
      </c>
      <c r="H78">
        <v>4488.5</v>
      </c>
      <c r="I78">
        <v>0.23668115600651099</v>
      </c>
      <c r="J78">
        <v>3.37666817623069</v>
      </c>
      <c r="K78">
        <v>0.49176860094809299</v>
      </c>
      <c r="L78" s="3" t="s">
        <v>26</v>
      </c>
    </row>
    <row r="79" spans="1:12" x14ac:dyDescent="0.3">
      <c r="A79" t="s">
        <v>42</v>
      </c>
      <c r="B79" t="s">
        <v>59</v>
      </c>
      <c r="C79" t="s">
        <v>43</v>
      </c>
      <c r="D79" t="s">
        <v>40</v>
      </c>
      <c r="E79" t="s">
        <v>5</v>
      </c>
      <c r="F79" s="1">
        <v>88971112</v>
      </c>
      <c r="G79">
        <v>8373</v>
      </c>
      <c r="H79">
        <v>5557</v>
      </c>
      <c r="I79">
        <v>0.23282514586862399</v>
      </c>
      <c r="J79">
        <v>3.47173165148005</v>
      </c>
      <c r="K79">
        <v>0.52283653846153799</v>
      </c>
      <c r="L79" s="3" t="s">
        <v>45</v>
      </c>
    </row>
    <row r="80" spans="1:12" x14ac:dyDescent="0.3">
      <c r="C80" t="s">
        <v>35</v>
      </c>
      <c r="F80" s="1">
        <f>SUM(F72:F79)</f>
        <v>725461984</v>
      </c>
      <c r="G80">
        <f>SUM(G72:G75)</f>
        <v>31579</v>
      </c>
    </row>
    <row r="82" spans="1:12" x14ac:dyDescent="0.3">
      <c r="A82" t="s">
        <v>46</v>
      </c>
      <c r="B82" t="s">
        <v>60</v>
      </c>
      <c r="C82" t="s">
        <v>48</v>
      </c>
      <c r="D82" t="s">
        <v>13</v>
      </c>
      <c r="E82" t="s">
        <v>10</v>
      </c>
      <c r="F82" s="1">
        <v>42122930</v>
      </c>
      <c r="G82">
        <v>1645</v>
      </c>
      <c r="H82">
        <v>14022</v>
      </c>
      <c r="I82">
        <v>0.32380032684593701</v>
      </c>
      <c r="J82">
        <v>3.7855433699565899</v>
      </c>
      <c r="K82">
        <v>0.28547526453830202</v>
      </c>
      <c r="L82" s="3" t="s">
        <v>17</v>
      </c>
    </row>
    <row r="83" spans="1:12" x14ac:dyDescent="0.3">
      <c r="A83" t="s">
        <v>46</v>
      </c>
      <c r="B83" t="s">
        <v>60</v>
      </c>
      <c r="C83" t="s">
        <v>47</v>
      </c>
      <c r="D83" t="s">
        <v>13</v>
      </c>
      <c r="E83" t="s">
        <v>10</v>
      </c>
      <c r="F83" s="1">
        <v>221847604</v>
      </c>
      <c r="G83">
        <v>7409</v>
      </c>
      <c r="H83">
        <v>21211</v>
      </c>
      <c r="I83">
        <v>0.31768337633615901</v>
      </c>
      <c r="J83">
        <v>3.9586116577648802</v>
      </c>
      <c r="K83">
        <v>0.58161916800735503</v>
      </c>
      <c r="L83" s="3" t="s">
        <v>18</v>
      </c>
    </row>
    <row r="84" spans="1:12" x14ac:dyDescent="0.3">
      <c r="A84" t="s">
        <v>46</v>
      </c>
      <c r="B84" t="s">
        <v>60</v>
      </c>
      <c r="C84" t="s">
        <v>49</v>
      </c>
      <c r="D84" t="s">
        <v>13</v>
      </c>
      <c r="E84" t="s">
        <v>10</v>
      </c>
      <c r="F84" s="1">
        <v>93289949</v>
      </c>
      <c r="G84">
        <v>2285</v>
      </c>
      <c r="H84">
        <v>16457</v>
      </c>
      <c r="I84">
        <v>0.31553185910322501</v>
      </c>
      <c r="J84">
        <v>3.8640955734242501</v>
      </c>
      <c r="K84">
        <v>0.454113297240195</v>
      </c>
      <c r="L84" s="3" t="s">
        <v>19</v>
      </c>
    </row>
    <row r="85" spans="1:12" x14ac:dyDescent="0.3">
      <c r="A85" t="s">
        <v>46</v>
      </c>
      <c r="B85" t="s">
        <v>60</v>
      </c>
      <c r="C85" t="s">
        <v>48</v>
      </c>
      <c r="D85" t="s">
        <v>13</v>
      </c>
      <c r="E85" t="s">
        <v>5</v>
      </c>
      <c r="F85" s="1">
        <v>50618139</v>
      </c>
      <c r="G85">
        <v>1645</v>
      </c>
      <c r="H85">
        <v>12659</v>
      </c>
      <c r="I85">
        <v>0.32401954642275399</v>
      </c>
      <c r="J85">
        <v>3.7633531087482202</v>
      </c>
      <c r="K85">
        <v>0.32978509740911799</v>
      </c>
      <c r="L85" s="3" t="s">
        <v>25</v>
      </c>
    </row>
    <row r="86" spans="1:12" x14ac:dyDescent="0.3">
      <c r="A86" t="s">
        <v>46</v>
      </c>
      <c r="B86" t="s">
        <v>60</v>
      </c>
      <c r="C86" t="s">
        <v>47</v>
      </c>
      <c r="D86" t="s">
        <v>13</v>
      </c>
      <c r="E86" t="s">
        <v>5</v>
      </c>
      <c r="F86" s="1">
        <v>210911911</v>
      </c>
      <c r="G86">
        <v>7409</v>
      </c>
      <c r="H86">
        <v>17924</v>
      </c>
      <c r="I86">
        <v>0.31981180061037601</v>
      </c>
      <c r="J86">
        <v>3.8845121591903902</v>
      </c>
      <c r="K86">
        <v>0.61654135338345895</v>
      </c>
      <c r="L86" s="3" t="s">
        <v>15</v>
      </c>
    </row>
    <row r="87" spans="1:12" x14ac:dyDescent="0.3">
      <c r="A87" t="s">
        <v>46</v>
      </c>
      <c r="B87" t="s">
        <v>60</v>
      </c>
      <c r="C87" t="s">
        <v>49</v>
      </c>
      <c r="D87" t="s">
        <v>13</v>
      </c>
      <c r="E87" t="s">
        <v>5</v>
      </c>
      <c r="F87" s="1">
        <v>81806906</v>
      </c>
      <c r="G87">
        <v>2285</v>
      </c>
      <c r="H87">
        <v>11656</v>
      </c>
      <c r="I87">
        <v>0.28510561145861701</v>
      </c>
      <c r="J87">
        <v>3.7522789854601202</v>
      </c>
      <c r="K87">
        <v>0.483279145378542</v>
      </c>
      <c r="L87" s="3" t="s">
        <v>16</v>
      </c>
    </row>
    <row r="88" spans="1:12" x14ac:dyDescent="0.3">
      <c r="C88" t="s">
        <v>35</v>
      </c>
      <c r="F88" s="1">
        <f>SUM(F82:F87)</f>
        <v>700597439</v>
      </c>
      <c r="G88" s="1">
        <f>SUM(G82:G84)</f>
        <v>11339</v>
      </c>
    </row>
    <row r="90" spans="1:12" x14ac:dyDescent="0.3">
      <c r="A90" t="s">
        <v>50</v>
      </c>
      <c r="B90" t="s">
        <v>60</v>
      </c>
      <c r="C90" t="s">
        <v>48</v>
      </c>
      <c r="D90" t="s">
        <v>14</v>
      </c>
      <c r="E90" t="s">
        <v>10</v>
      </c>
      <c r="F90" s="1">
        <v>36232109</v>
      </c>
      <c r="G90">
        <v>3534</v>
      </c>
      <c r="H90">
        <v>2695.5</v>
      </c>
      <c r="I90">
        <v>0.48416789750436801</v>
      </c>
      <c r="J90">
        <v>2.8530895298518701</v>
      </c>
      <c r="K90">
        <v>0.228696599463966</v>
      </c>
      <c r="L90" s="3" t="s">
        <v>23</v>
      </c>
    </row>
    <row r="91" spans="1:12" x14ac:dyDescent="0.3">
      <c r="A91" t="s">
        <v>50</v>
      </c>
      <c r="B91" t="s">
        <v>60</v>
      </c>
      <c r="C91" t="s">
        <v>47</v>
      </c>
      <c r="D91" t="s">
        <v>14</v>
      </c>
      <c r="E91" t="s">
        <v>10</v>
      </c>
      <c r="F91" s="1">
        <v>136040729</v>
      </c>
      <c r="G91">
        <v>5090</v>
      </c>
      <c r="H91">
        <v>13360.5</v>
      </c>
      <c r="I91">
        <v>0.48446306783506599</v>
      </c>
      <c r="J91">
        <v>3.55138899298837</v>
      </c>
      <c r="K91">
        <v>0.51803884735737404</v>
      </c>
      <c r="L91" s="3" t="s">
        <v>24</v>
      </c>
    </row>
    <row r="92" spans="1:12" x14ac:dyDescent="0.3">
      <c r="A92" t="s">
        <v>50</v>
      </c>
      <c r="B92" t="s">
        <v>60</v>
      </c>
      <c r="C92" t="s">
        <v>49</v>
      </c>
      <c r="D92" t="s">
        <v>14</v>
      </c>
      <c r="E92" t="s">
        <v>10</v>
      </c>
      <c r="F92" s="1">
        <v>55522713</v>
      </c>
      <c r="G92">
        <v>3616</v>
      </c>
      <c r="H92">
        <v>5853.5</v>
      </c>
      <c r="I92">
        <v>0.48614872737494502</v>
      </c>
      <c r="J92">
        <v>3.19117145572856</v>
      </c>
      <c r="K92">
        <v>0.37339850205175001</v>
      </c>
      <c r="L92" s="3" t="s">
        <v>25</v>
      </c>
    </row>
    <row r="93" spans="1:12" x14ac:dyDescent="0.3">
      <c r="A93" t="s">
        <v>50</v>
      </c>
      <c r="B93" t="s">
        <v>60</v>
      </c>
      <c r="C93" t="s">
        <v>48</v>
      </c>
      <c r="D93" t="s">
        <v>14</v>
      </c>
      <c r="E93" t="s">
        <v>5</v>
      </c>
      <c r="F93" s="1">
        <v>30799398</v>
      </c>
      <c r="G93">
        <v>3534</v>
      </c>
      <c r="H93">
        <v>2832</v>
      </c>
      <c r="I93">
        <v>0.485646283515836</v>
      </c>
      <c r="J93">
        <v>2.8543060418010802</v>
      </c>
      <c r="K93">
        <v>0.178891605541972</v>
      </c>
      <c r="L93" s="3" t="s">
        <v>17</v>
      </c>
    </row>
    <row r="94" spans="1:12" x14ac:dyDescent="0.3">
      <c r="A94" t="s">
        <v>50</v>
      </c>
      <c r="B94" t="s">
        <v>60</v>
      </c>
      <c r="C94" t="s">
        <v>47</v>
      </c>
      <c r="D94" t="s">
        <v>14</v>
      </c>
      <c r="E94" t="s">
        <v>5</v>
      </c>
      <c r="F94" s="1">
        <v>36179314</v>
      </c>
      <c r="G94">
        <v>5090</v>
      </c>
      <c r="H94">
        <v>3944.5</v>
      </c>
      <c r="I94">
        <v>0.47327182477734703</v>
      </c>
      <c r="J94">
        <v>3.06069784035361</v>
      </c>
      <c r="K94">
        <v>0.35631449849778701</v>
      </c>
      <c r="L94" s="3" t="s">
        <v>18</v>
      </c>
    </row>
    <row r="95" spans="1:12" x14ac:dyDescent="0.3">
      <c r="A95" t="s">
        <v>50</v>
      </c>
      <c r="B95" t="s">
        <v>60</v>
      </c>
      <c r="C95" t="s">
        <v>49</v>
      </c>
      <c r="D95" t="s">
        <v>14</v>
      </c>
      <c r="E95" t="s">
        <v>5</v>
      </c>
      <c r="F95" s="1">
        <v>41893732</v>
      </c>
      <c r="G95">
        <v>3616</v>
      </c>
      <c r="H95">
        <v>3819</v>
      </c>
      <c r="I95">
        <v>0.47626480058612303</v>
      </c>
      <c r="J95">
        <v>3.0488299131102901</v>
      </c>
      <c r="K95">
        <v>0.266971774255851</v>
      </c>
      <c r="L95" s="3" t="s">
        <v>19</v>
      </c>
    </row>
    <row r="96" spans="1:12" x14ac:dyDescent="0.3">
      <c r="C96" t="s">
        <v>35</v>
      </c>
      <c r="F96" s="1">
        <f>SUM(F90:F95)</f>
        <v>336667995</v>
      </c>
      <c r="G96" s="1">
        <f>SUM(G90:G92)</f>
        <v>12240</v>
      </c>
    </row>
    <row r="98" spans="1:12" x14ac:dyDescent="0.3">
      <c r="A98" t="s">
        <v>51</v>
      </c>
      <c r="B98" t="s">
        <v>60</v>
      </c>
      <c r="C98" t="s">
        <v>48</v>
      </c>
      <c r="D98" t="s">
        <v>40</v>
      </c>
      <c r="E98" t="s">
        <v>10</v>
      </c>
      <c r="F98" s="1">
        <v>48204837</v>
      </c>
      <c r="G98">
        <v>596</v>
      </c>
      <c r="H98">
        <v>27753.5</v>
      </c>
      <c r="I98">
        <v>0.45447760883453497</v>
      </c>
      <c r="J98">
        <v>3.7901090882303801</v>
      </c>
      <c r="K98">
        <v>0.137533113715573</v>
      </c>
      <c r="L98" s="3" t="s">
        <v>25</v>
      </c>
    </row>
    <row r="99" spans="1:12" x14ac:dyDescent="0.3">
      <c r="A99" t="s">
        <v>51</v>
      </c>
      <c r="B99" t="s">
        <v>60</v>
      </c>
      <c r="C99" t="s">
        <v>47</v>
      </c>
      <c r="D99" t="s">
        <v>40</v>
      </c>
      <c r="E99" t="s">
        <v>10</v>
      </c>
      <c r="F99" s="1">
        <v>40160652</v>
      </c>
      <c r="G99">
        <v>542</v>
      </c>
      <c r="H99">
        <v>53424</v>
      </c>
      <c r="I99">
        <v>0.44997097005310899</v>
      </c>
      <c r="J99">
        <v>4.1048595585755896</v>
      </c>
      <c r="K99">
        <v>0.40094337916599199</v>
      </c>
      <c r="L99" s="3" t="s">
        <v>23</v>
      </c>
    </row>
    <row r="100" spans="1:12" x14ac:dyDescent="0.3">
      <c r="A100" t="s">
        <v>51</v>
      </c>
      <c r="B100" t="s">
        <v>60</v>
      </c>
      <c r="C100" t="s">
        <v>49</v>
      </c>
      <c r="D100" t="s">
        <v>40</v>
      </c>
      <c r="E100" t="s">
        <v>10</v>
      </c>
      <c r="F100" s="1">
        <v>58378489</v>
      </c>
      <c r="G100">
        <v>170</v>
      </c>
      <c r="H100">
        <v>65914.5</v>
      </c>
      <c r="I100">
        <v>0.46755580248595402</v>
      </c>
      <c r="J100">
        <v>4.1662327653839597</v>
      </c>
      <c r="K100">
        <v>0.31073997216856297</v>
      </c>
      <c r="L100" s="3" t="s">
        <v>24</v>
      </c>
    </row>
    <row r="101" spans="1:12" x14ac:dyDescent="0.3">
      <c r="A101" t="s">
        <v>51</v>
      </c>
      <c r="B101" t="s">
        <v>60</v>
      </c>
      <c r="C101" t="s">
        <v>48</v>
      </c>
      <c r="D101" t="s">
        <v>40</v>
      </c>
      <c r="E101" t="s">
        <v>5</v>
      </c>
      <c r="F101" s="1">
        <v>39997082</v>
      </c>
      <c r="G101">
        <v>596</v>
      </c>
      <c r="H101">
        <v>29015.5</v>
      </c>
      <c r="I101">
        <v>0.45621649574304701</v>
      </c>
      <c r="J101">
        <v>3.83603910629816</v>
      </c>
      <c r="K101">
        <v>0.21667998456527199</v>
      </c>
      <c r="L101" s="3" t="s">
        <v>19</v>
      </c>
    </row>
    <row r="102" spans="1:12" x14ac:dyDescent="0.3">
      <c r="A102" t="s">
        <v>51</v>
      </c>
      <c r="B102" t="s">
        <v>60</v>
      </c>
      <c r="C102" t="s">
        <v>47</v>
      </c>
      <c r="D102" t="s">
        <v>40</v>
      </c>
      <c r="E102" t="s">
        <v>5</v>
      </c>
      <c r="F102" s="1">
        <v>20581347</v>
      </c>
      <c r="G102">
        <v>542</v>
      </c>
      <c r="H102">
        <v>24832</v>
      </c>
      <c r="I102">
        <v>0.45722566423622801</v>
      </c>
      <c r="J102">
        <v>3.7891215726829701</v>
      </c>
      <c r="K102">
        <v>0.40696017995094902</v>
      </c>
      <c r="L102" s="3" t="s">
        <v>17</v>
      </c>
    </row>
    <row r="103" spans="1:12" x14ac:dyDescent="0.3">
      <c r="A103" t="s">
        <v>51</v>
      </c>
      <c r="B103" t="s">
        <v>60</v>
      </c>
      <c r="C103" t="s">
        <v>49</v>
      </c>
      <c r="D103" t="s">
        <v>40</v>
      </c>
      <c r="E103" t="s">
        <v>5</v>
      </c>
      <c r="F103" s="1">
        <v>20065801</v>
      </c>
      <c r="G103">
        <v>170</v>
      </c>
      <c r="H103">
        <v>9965.5</v>
      </c>
      <c r="I103">
        <v>0.45518991394102198</v>
      </c>
      <c r="J103">
        <v>3.3676217475211798</v>
      </c>
      <c r="K103">
        <v>0.11492342096196199</v>
      </c>
      <c r="L103" s="3" t="s">
        <v>18</v>
      </c>
    </row>
    <row r="104" spans="1:12" x14ac:dyDescent="0.3">
      <c r="C104" t="s">
        <v>35</v>
      </c>
      <c r="F104" s="1">
        <f>SUM(F98:F103)</f>
        <v>227388208</v>
      </c>
      <c r="G104" s="1">
        <f>SUM(G98:G100)</f>
        <v>1308</v>
      </c>
    </row>
    <row r="106" spans="1:12" x14ac:dyDescent="0.3">
      <c r="A106" t="s">
        <v>52</v>
      </c>
      <c r="B106" t="s">
        <v>60</v>
      </c>
      <c r="C106" t="s">
        <v>48</v>
      </c>
      <c r="D106" t="s">
        <v>53</v>
      </c>
      <c r="E106" t="s">
        <v>10</v>
      </c>
      <c r="F106" s="1">
        <v>68105828</v>
      </c>
      <c r="G106">
        <v>2523</v>
      </c>
      <c r="H106">
        <v>4995</v>
      </c>
      <c r="I106">
        <v>8.6596170334381203E-2</v>
      </c>
      <c r="J106">
        <v>3.4775553321989801</v>
      </c>
      <c r="K106">
        <v>0.38579327945555097</v>
      </c>
      <c r="L106" s="3" t="s">
        <v>24</v>
      </c>
    </row>
    <row r="107" spans="1:12" x14ac:dyDescent="0.3">
      <c r="A107" t="s">
        <v>52</v>
      </c>
      <c r="B107" t="s">
        <v>60</v>
      </c>
      <c r="C107" t="s">
        <v>47</v>
      </c>
      <c r="D107" t="s">
        <v>53</v>
      </c>
      <c r="E107" t="s">
        <v>10</v>
      </c>
      <c r="F107" s="1">
        <v>141506659</v>
      </c>
      <c r="G107">
        <v>6220</v>
      </c>
      <c r="H107">
        <v>12408</v>
      </c>
      <c r="I107">
        <v>8.1061587130110094E-2</v>
      </c>
      <c r="J107">
        <v>3.8857003764525202</v>
      </c>
      <c r="K107">
        <v>0.56601204204770394</v>
      </c>
      <c r="L107" s="3" t="s">
        <v>25</v>
      </c>
    </row>
    <row r="108" spans="1:12" x14ac:dyDescent="0.3">
      <c r="A108" t="s">
        <v>52</v>
      </c>
      <c r="B108" t="s">
        <v>60</v>
      </c>
      <c r="C108" t="s">
        <v>49</v>
      </c>
      <c r="D108" t="s">
        <v>53</v>
      </c>
      <c r="E108" t="s">
        <v>10</v>
      </c>
      <c r="F108" s="1">
        <v>22975487</v>
      </c>
      <c r="G108">
        <v>1854</v>
      </c>
      <c r="H108">
        <v>4832.5</v>
      </c>
      <c r="I108">
        <v>8.5151288238067502E-2</v>
      </c>
      <c r="J108">
        <v>3.4849401236494901</v>
      </c>
      <c r="K108">
        <v>0.24276531549258801</v>
      </c>
      <c r="L108" s="3" t="s">
        <v>23</v>
      </c>
    </row>
    <row r="109" spans="1:12" x14ac:dyDescent="0.3">
      <c r="A109" t="s">
        <v>52</v>
      </c>
      <c r="B109" t="s">
        <v>60</v>
      </c>
      <c r="C109" t="s">
        <v>48</v>
      </c>
      <c r="D109" t="s">
        <v>53</v>
      </c>
      <c r="E109" t="s">
        <v>5</v>
      </c>
      <c r="F109" s="1">
        <v>17560096</v>
      </c>
      <c r="G109">
        <v>2523</v>
      </c>
      <c r="H109">
        <v>2168</v>
      </c>
      <c r="I109">
        <v>8.2625052250243802E-2</v>
      </c>
      <c r="J109">
        <v>3.1209028176145299</v>
      </c>
      <c r="K109">
        <v>0.14423480083857401</v>
      </c>
      <c r="L109" s="3" t="s">
        <v>18</v>
      </c>
    </row>
    <row r="110" spans="1:12" x14ac:dyDescent="0.3">
      <c r="A110" t="s">
        <v>52</v>
      </c>
      <c r="B110" t="s">
        <v>60</v>
      </c>
      <c r="C110" t="s">
        <v>47</v>
      </c>
      <c r="D110" t="s">
        <v>53</v>
      </c>
      <c r="E110" t="s">
        <v>5</v>
      </c>
      <c r="F110" s="1">
        <v>77153585</v>
      </c>
      <c r="G110">
        <v>6220</v>
      </c>
      <c r="H110">
        <v>7991</v>
      </c>
      <c r="I110">
        <v>8.3791058385498302E-2</v>
      </c>
      <c r="J110">
        <v>3.70333437331551</v>
      </c>
      <c r="K110">
        <v>0.50874216676398898</v>
      </c>
      <c r="L110" s="3" t="s">
        <v>19</v>
      </c>
    </row>
    <row r="111" spans="1:12" x14ac:dyDescent="0.3">
      <c r="A111" t="s">
        <v>52</v>
      </c>
      <c r="B111" t="s">
        <v>60</v>
      </c>
      <c r="C111" t="s">
        <v>49</v>
      </c>
      <c r="D111" t="s">
        <v>53</v>
      </c>
      <c r="E111" t="s">
        <v>5</v>
      </c>
      <c r="F111" s="1">
        <v>20812584</v>
      </c>
      <c r="G111">
        <v>1854</v>
      </c>
      <c r="H111">
        <v>3738</v>
      </c>
      <c r="I111">
        <v>8.4013236356139304E-2</v>
      </c>
      <c r="J111">
        <v>3.37245169164169</v>
      </c>
      <c r="K111">
        <v>0.18266110988998899</v>
      </c>
      <c r="L111" s="3" t="s">
        <v>17</v>
      </c>
    </row>
    <row r="112" spans="1:12" x14ac:dyDescent="0.3">
      <c r="C112" t="s">
        <v>35</v>
      </c>
      <c r="F112" s="1">
        <f>SUM(F106:F111)</f>
        <v>348114239</v>
      </c>
      <c r="G112" s="1">
        <f>SUM(G106:G108)</f>
        <v>10597</v>
      </c>
    </row>
    <row r="114" spans="1:1" x14ac:dyDescent="0.3">
      <c r="A114" t="s">
        <v>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2025-06-18T05:54:22Z</dcterms:created>
  <dcterms:modified xsi:type="dcterms:W3CDTF">2026-03-28T17:53:28Z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1209176128067995253</vt:lpwstr>
  </property>
  <property fmtid="{D5CDD505-2E9C-101B-9397-08002B2CF9AE}" pid="5" name="TemplafyFromBlank">
    <vt:bool>true</vt:bool>
  </property>
</Properties>
</file>