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8_{B3818D3B-DE98-46F5-B6BA-2DB5A98624BC}" xr6:coauthVersionLast="47" xr6:coauthVersionMax="47" xr10:uidLastSave="{00000000-0000-0000-0000-000000000000}"/>
  <bookViews>
    <workbookView xWindow="28680" yWindow="-55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G44" i="1"/>
  <c r="F30" i="1"/>
  <c r="G18" i="1"/>
  <c r="G30" i="1"/>
  <c r="F18" i="1"/>
</calcChain>
</file>

<file path=xl/sharedStrings.xml><?xml version="1.0" encoding="utf-8"?>
<sst xmlns="http://schemas.openxmlformats.org/spreadsheetml/2006/main" count="196" uniqueCount="38">
  <si>
    <t>sample</t>
  </si>
  <si>
    <t>median_total_reads</t>
  </si>
  <si>
    <t>median_FRiP</t>
  </si>
  <si>
    <t>project</t>
  </si>
  <si>
    <t>Adult_mPFC_DamLeo1</t>
  </si>
  <si>
    <t>Adult_mPFC</t>
  </si>
  <si>
    <t>modality</t>
  </si>
  <si>
    <t>Dam</t>
  </si>
  <si>
    <t>library batch</t>
  </si>
  <si>
    <t>Day-2</t>
  </si>
  <si>
    <t>Day-7</t>
  </si>
  <si>
    <t>HisT_Day2-7</t>
  </si>
  <si>
    <t>H3K27ac</t>
  </si>
  <si>
    <t>vitro_DamLeo1_H3K27ac</t>
  </si>
  <si>
    <t>vitro_FreeDam_H3K27ac</t>
  </si>
  <si>
    <t>vitro_DamBiv_H3K27ac</t>
  </si>
  <si>
    <t>total_cells_QC_passed</t>
  </si>
  <si>
    <t>replicate</t>
  </si>
  <si>
    <t>rep1</t>
  </si>
  <si>
    <t>rep2</t>
  </si>
  <si>
    <t>total reads</t>
  </si>
  <si>
    <t>GTACTGAC</t>
  </si>
  <si>
    <t>TAGATCGC</t>
  </si>
  <si>
    <t>TATAGCCT</t>
  </si>
  <si>
    <t>ATAGAGGC</t>
  </si>
  <si>
    <t>CCTATCCT</t>
  </si>
  <si>
    <t>AAGGAGTA</t>
  </si>
  <si>
    <t>CTAAGCCT</t>
  </si>
  <si>
    <t>CGTCTAAT</t>
  </si>
  <si>
    <t>GGCTCTGA</t>
  </si>
  <si>
    <t>TAATCTTA</t>
  </si>
  <si>
    <t>CAGGACGT</t>
  </si>
  <si>
    <t>TCGACTAG</t>
  </si>
  <si>
    <t>modality/sample barcode</t>
  </si>
  <si>
    <t>Total</t>
  </si>
  <si>
    <t>median_duplication_rate</t>
  </si>
  <si>
    <t>median_UMI_per_cell</t>
  </si>
  <si>
    <t xml:space="preserve">Regarding FreeDam Day-7 rep2, sample/modality barcode (CTCTCTAT) turns out to be ill-suited for nanobody-mediated multiplexed chromatin sequencing with 10x Genomics Chromium platform: This resulted in very low library complexity. This was confirmed multiple times in other projects of Kitazawa's lab for similar experiments (i.e., nanoCT, scDamID).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</si>
</sst>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L46"/>
  <sheetViews>
    <sheetView tabSelected="1" workbookViewId="0"/>
  </sheetViews>
  <sheetFormatPr defaultRowHeight="14.4" x14ac:dyDescent="0.3"/>
  <cols>
    <col min="1" max="1" width="12.21875" customWidth="1"/>
    <col min="2" max="2" width="22.33203125" customWidth="1"/>
    <col min="3" max="3" width="16.21875" customWidth="1"/>
    <col min="5" max="5" width="13.6640625" customWidth="1"/>
    <col min="6" max="6" width="17.21875" customWidth="1"/>
    <col min="7" max="7" width="20.6640625" customWidth="1"/>
    <col min="8" max="8" width="21.21875" customWidth="1"/>
    <col min="9" max="9" width="21" customWidth="1"/>
    <col min="10" max="10" width="20" customWidth="1"/>
    <col min="11" max="11" width="14" customWidth="1"/>
    <col min="12" max="12" width="24" customWidth="1"/>
  </cols>
  <sheetData>
    <row r="1" spans="1:12" x14ac:dyDescent="0.3">
      <c r="A1" t="s">
        <v>8</v>
      </c>
      <c r="B1" t="s">
        <v>3</v>
      </c>
      <c r="C1" t="s">
        <v>0</v>
      </c>
      <c r="D1" t="s">
        <v>17</v>
      </c>
      <c r="E1" t="s">
        <v>6</v>
      </c>
      <c r="F1" t="s">
        <v>20</v>
      </c>
      <c r="G1" t="s">
        <v>16</v>
      </c>
      <c r="H1" t="s">
        <v>1</v>
      </c>
      <c r="I1" t="s">
        <v>35</v>
      </c>
      <c r="J1" t="s">
        <v>36</v>
      </c>
      <c r="K1" t="s">
        <v>2</v>
      </c>
      <c r="L1" t="s">
        <v>33</v>
      </c>
    </row>
    <row r="3" spans="1:12" x14ac:dyDescent="0.3">
      <c r="A3">
        <v>1</v>
      </c>
      <c r="B3" t="s">
        <v>4</v>
      </c>
      <c r="C3" t="s">
        <v>5</v>
      </c>
      <c r="D3" t="s">
        <v>18</v>
      </c>
      <c r="E3" t="s">
        <v>7</v>
      </c>
      <c r="F3" s="1">
        <v>116950687</v>
      </c>
      <c r="G3">
        <v>9232</v>
      </c>
      <c r="H3">
        <v>9267.5</v>
      </c>
      <c r="I3">
        <v>0.226453835229498</v>
      </c>
      <c r="J3" s="2">
        <v>5263.9999050153065</v>
      </c>
      <c r="K3">
        <v>0.59223331526541201</v>
      </c>
      <c r="L3" t="s">
        <v>21</v>
      </c>
    </row>
    <row r="4" spans="1:12" x14ac:dyDescent="0.3">
      <c r="A4">
        <v>1</v>
      </c>
      <c r="B4" t="s">
        <v>4</v>
      </c>
      <c r="C4" t="s">
        <v>5</v>
      </c>
      <c r="D4" t="s">
        <v>19</v>
      </c>
      <c r="E4" t="s">
        <v>7</v>
      </c>
      <c r="F4" s="1">
        <v>152782373</v>
      </c>
      <c r="G4">
        <v>10656</v>
      </c>
      <c r="H4">
        <v>10433.5</v>
      </c>
      <c r="I4">
        <v>0.222365526851935</v>
      </c>
      <c r="J4" s="2">
        <v>5947.4999789828098</v>
      </c>
      <c r="K4">
        <v>0.62214704346147798</v>
      </c>
      <c r="L4" t="s">
        <v>22</v>
      </c>
    </row>
    <row r="5" spans="1:12" x14ac:dyDescent="0.3">
      <c r="J5" s="2"/>
    </row>
    <row r="6" spans="1:12" x14ac:dyDescent="0.3">
      <c r="A6">
        <v>2</v>
      </c>
      <c r="B6" t="s">
        <v>13</v>
      </c>
      <c r="C6" t="s">
        <v>9</v>
      </c>
      <c r="D6" t="s">
        <v>18</v>
      </c>
      <c r="E6" t="s">
        <v>12</v>
      </c>
      <c r="F6" s="1">
        <v>57468568</v>
      </c>
      <c r="G6">
        <v>4816</v>
      </c>
      <c r="H6">
        <v>5546</v>
      </c>
      <c r="I6">
        <v>0.32721805124040099</v>
      </c>
      <c r="J6" s="2">
        <v>2149.4994766224072</v>
      </c>
      <c r="K6">
        <v>0.34832684002813302</v>
      </c>
      <c r="L6" t="s">
        <v>26</v>
      </c>
    </row>
    <row r="7" spans="1:12" x14ac:dyDescent="0.3">
      <c r="A7">
        <v>2</v>
      </c>
      <c r="B7" t="s">
        <v>13</v>
      </c>
      <c r="C7" t="s">
        <v>9</v>
      </c>
      <c r="D7" t="s">
        <v>19</v>
      </c>
      <c r="E7" t="s">
        <v>12</v>
      </c>
      <c r="F7" s="1">
        <v>68555047</v>
      </c>
      <c r="G7">
        <v>4306</v>
      </c>
      <c r="H7">
        <v>7388</v>
      </c>
      <c r="I7">
        <v>0.31785028380721297</v>
      </c>
      <c r="J7" s="2">
        <v>2914.9999999999841</v>
      </c>
      <c r="K7">
        <v>0.34489730578363897</v>
      </c>
      <c r="L7" t="s">
        <v>21</v>
      </c>
    </row>
    <row r="8" spans="1:12" x14ac:dyDescent="0.3">
      <c r="A8">
        <v>2</v>
      </c>
      <c r="B8" t="s">
        <v>13</v>
      </c>
      <c r="C8" t="s">
        <v>10</v>
      </c>
      <c r="D8" t="s">
        <v>18</v>
      </c>
      <c r="E8" t="s">
        <v>12</v>
      </c>
      <c r="F8" s="1">
        <v>87692185</v>
      </c>
      <c r="G8">
        <v>3692</v>
      </c>
      <c r="H8">
        <v>11431.5</v>
      </c>
      <c r="I8">
        <v>0.32294765677283199</v>
      </c>
      <c r="J8" s="2">
        <v>4363.4999713532516</v>
      </c>
      <c r="K8">
        <v>0.35652358510464099</v>
      </c>
      <c r="L8" t="s">
        <v>27</v>
      </c>
    </row>
    <row r="9" spans="1:12" x14ac:dyDescent="0.3">
      <c r="A9">
        <v>2</v>
      </c>
      <c r="B9" t="s">
        <v>13</v>
      </c>
      <c r="C9" t="s">
        <v>10</v>
      </c>
      <c r="D9" t="s">
        <v>19</v>
      </c>
      <c r="E9" t="s">
        <v>12</v>
      </c>
      <c r="F9" s="1">
        <v>93078907</v>
      </c>
      <c r="G9">
        <v>4690</v>
      </c>
      <c r="H9">
        <v>12624</v>
      </c>
      <c r="I9">
        <v>0.30347136127281299</v>
      </c>
      <c r="J9" s="2">
        <v>5004.4999750224879</v>
      </c>
      <c r="K9">
        <v>0.38765555160294701</v>
      </c>
      <c r="L9" t="s">
        <v>32</v>
      </c>
    </row>
    <row r="10" spans="1:12" x14ac:dyDescent="0.3">
      <c r="A10">
        <v>2</v>
      </c>
      <c r="B10" t="s">
        <v>13</v>
      </c>
      <c r="C10" t="s">
        <v>11</v>
      </c>
      <c r="D10" t="s">
        <v>18</v>
      </c>
      <c r="E10" t="s">
        <v>12</v>
      </c>
      <c r="F10" s="1">
        <v>125255428</v>
      </c>
      <c r="G10">
        <v>4720</v>
      </c>
      <c r="H10">
        <v>16020</v>
      </c>
      <c r="I10">
        <v>0.33179623482464998</v>
      </c>
      <c r="J10" s="2">
        <v>5913.4999788618989</v>
      </c>
      <c r="K10">
        <v>0.45779781592742103</v>
      </c>
      <c r="L10" t="s">
        <v>28</v>
      </c>
    </row>
    <row r="11" spans="1:12" x14ac:dyDescent="0.3">
      <c r="A11">
        <v>2</v>
      </c>
      <c r="B11" t="s">
        <v>13</v>
      </c>
      <c r="C11" t="s">
        <v>11</v>
      </c>
      <c r="D11" t="s">
        <v>19</v>
      </c>
      <c r="E11" t="s">
        <v>12</v>
      </c>
      <c r="F11" s="1">
        <v>124291154</v>
      </c>
      <c r="G11">
        <v>4424</v>
      </c>
      <c r="H11">
        <v>17860.5</v>
      </c>
      <c r="I11">
        <v>0.29354446017497099</v>
      </c>
      <c r="J11" s="2">
        <v>7474.9999331104345</v>
      </c>
      <c r="K11">
        <v>0.49151798613877201</v>
      </c>
      <c r="L11" t="s">
        <v>22</v>
      </c>
    </row>
    <row r="12" spans="1:12" x14ac:dyDescent="0.3">
      <c r="A12">
        <v>2</v>
      </c>
      <c r="B12" t="s">
        <v>13</v>
      </c>
      <c r="C12" t="s">
        <v>9</v>
      </c>
      <c r="D12" t="s">
        <v>18</v>
      </c>
      <c r="E12" t="s">
        <v>7</v>
      </c>
      <c r="F12" s="1">
        <v>82982037</v>
      </c>
      <c r="G12">
        <v>4816</v>
      </c>
      <c r="H12">
        <v>9578.5</v>
      </c>
      <c r="I12">
        <v>0.32906877389876299</v>
      </c>
      <c r="J12" s="2">
        <v>3797.4999670836305</v>
      </c>
      <c r="K12">
        <v>0.50280175273054095</v>
      </c>
      <c r="L12" t="s">
        <v>23</v>
      </c>
    </row>
    <row r="13" spans="1:12" x14ac:dyDescent="0.3">
      <c r="A13">
        <v>2</v>
      </c>
      <c r="B13" t="s">
        <v>13</v>
      </c>
      <c r="C13" t="s">
        <v>9</v>
      </c>
      <c r="D13" t="s">
        <v>19</v>
      </c>
      <c r="E13" t="s">
        <v>7</v>
      </c>
      <c r="F13" s="1">
        <v>53709488</v>
      </c>
      <c r="G13">
        <v>4306</v>
      </c>
      <c r="H13">
        <v>7454</v>
      </c>
      <c r="I13">
        <v>0.32917535753736499</v>
      </c>
      <c r="J13" s="2">
        <v>2948.4999576055252</v>
      </c>
      <c r="K13">
        <v>0.46970877769314601</v>
      </c>
      <c r="L13" t="s">
        <v>29</v>
      </c>
    </row>
    <row r="14" spans="1:12" x14ac:dyDescent="0.3">
      <c r="A14">
        <v>2</v>
      </c>
      <c r="B14" t="s">
        <v>13</v>
      </c>
      <c r="C14" t="s">
        <v>10</v>
      </c>
      <c r="D14" t="s">
        <v>18</v>
      </c>
      <c r="E14" t="s">
        <v>7</v>
      </c>
      <c r="F14" s="1">
        <v>208561490</v>
      </c>
      <c r="G14">
        <v>3692</v>
      </c>
      <c r="H14">
        <v>31359.5</v>
      </c>
      <c r="I14">
        <v>0.31428947266207802</v>
      </c>
      <c r="J14" s="2">
        <v>11650.499903437636</v>
      </c>
      <c r="K14">
        <v>0.53852102268803004</v>
      </c>
      <c r="L14" t="s">
        <v>24</v>
      </c>
    </row>
    <row r="15" spans="1:12" x14ac:dyDescent="0.3">
      <c r="A15">
        <v>2</v>
      </c>
      <c r="B15" t="s">
        <v>13</v>
      </c>
      <c r="C15" t="s">
        <v>10</v>
      </c>
      <c r="D15" t="s">
        <v>19</v>
      </c>
      <c r="E15" t="s">
        <v>7</v>
      </c>
      <c r="F15" s="1">
        <v>301382529</v>
      </c>
      <c r="G15">
        <v>4690</v>
      </c>
      <c r="H15">
        <v>38993.5</v>
      </c>
      <c r="I15">
        <v>0.32094914597403701</v>
      </c>
      <c r="J15" s="2">
        <v>14330.499991277342</v>
      </c>
      <c r="K15">
        <v>0.59580886932235599</v>
      </c>
      <c r="L15" t="s">
        <v>30</v>
      </c>
    </row>
    <row r="16" spans="1:12" x14ac:dyDescent="0.3">
      <c r="A16">
        <v>2</v>
      </c>
      <c r="B16" t="s">
        <v>13</v>
      </c>
      <c r="C16" t="s">
        <v>11</v>
      </c>
      <c r="D16" t="s">
        <v>18</v>
      </c>
      <c r="E16" t="s">
        <v>7</v>
      </c>
      <c r="F16" s="1">
        <v>129457198</v>
      </c>
      <c r="G16">
        <v>4720</v>
      </c>
      <c r="H16">
        <v>15267.5</v>
      </c>
      <c r="I16">
        <v>0.31756417063443998</v>
      </c>
      <c r="J16" s="2">
        <v>6061.9999175189978</v>
      </c>
      <c r="K16">
        <v>0.51717845002104501</v>
      </c>
      <c r="L16" t="s">
        <v>25</v>
      </c>
    </row>
    <row r="17" spans="1:12" x14ac:dyDescent="0.3">
      <c r="A17">
        <v>2</v>
      </c>
      <c r="B17" t="s">
        <v>13</v>
      </c>
      <c r="C17" t="s">
        <v>11</v>
      </c>
      <c r="D17" t="s">
        <v>19</v>
      </c>
      <c r="E17" t="s">
        <v>7</v>
      </c>
      <c r="F17" s="1">
        <v>116509835</v>
      </c>
      <c r="G17">
        <v>4424</v>
      </c>
      <c r="H17">
        <v>14348.5</v>
      </c>
      <c r="I17">
        <v>0.32851223657239897</v>
      </c>
      <c r="J17" s="2">
        <v>5555.4999774998787</v>
      </c>
      <c r="K17">
        <v>0.50896291311890696</v>
      </c>
      <c r="L17" t="s">
        <v>31</v>
      </c>
    </row>
    <row r="18" spans="1:12" x14ac:dyDescent="0.3">
      <c r="C18" t="s">
        <v>34</v>
      </c>
      <c r="F18" s="1">
        <f>SUM(F6:F17)</f>
        <v>1448943866</v>
      </c>
      <c r="G18" s="1">
        <f>SUM(G6:G11)</f>
        <v>26648</v>
      </c>
      <c r="J18" s="2"/>
    </row>
    <row r="19" spans="1:12" x14ac:dyDescent="0.3">
      <c r="J19" s="2"/>
    </row>
    <row r="20" spans="1:12" x14ac:dyDescent="0.3">
      <c r="A20">
        <v>3</v>
      </c>
      <c r="B20" t="s">
        <v>14</v>
      </c>
      <c r="C20" t="s">
        <v>9</v>
      </c>
      <c r="D20" t="s">
        <v>18</v>
      </c>
      <c r="E20" t="s">
        <v>12</v>
      </c>
      <c r="F20" s="1">
        <v>18981247</v>
      </c>
      <c r="G20">
        <v>3450</v>
      </c>
      <c r="H20">
        <v>2493</v>
      </c>
      <c r="I20">
        <v>0.220346349455013</v>
      </c>
      <c r="J20" s="2">
        <v>1231.0000000000114</v>
      </c>
      <c r="K20">
        <v>0.28744027096608998</v>
      </c>
      <c r="L20" t="s">
        <v>26</v>
      </c>
    </row>
    <row r="21" spans="1:12" x14ac:dyDescent="0.3">
      <c r="A21">
        <v>3</v>
      </c>
      <c r="B21" t="s">
        <v>14</v>
      </c>
      <c r="C21" t="s">
        <v>9</v>
      </c>
      <c r="D21" t="s">
        <v>19</v>
      </c>
      <c r="E21" t="s">
        <v>12</v>
      </c>
      <c r="F21" s="1">
        <v>65716498</v>
      </c>
      <c r="G21">
        <v>7125</v>
      </c>
      <c r="H21">
        <v>3984</v>
      </c>
      <c r="I21">
        <v>0.226041781806124</v>
      </c>
      <c r="J21" s="2">
        <v>1940.0000000000196</v>
      </c>
      <c r="K21">
        <v>0.35990276356192402</v>
      </c>
      <c r="L21" t="s">
        <v>21</v>
      </c>
    </row>
    <row r="22" spans="1:12" x14ac:dyDescent="0.3">
      <c r="A22">
        <v>3</v>
      </c>
      <c r="B22" t="s">
        <v>14</v>
      </c>
      <c r="C22" t="s">
        <v>10</v>
      </c>
      <c r="D22" t="s">
        <v>18</v>
      </c>
      <c r="E22" t="s">
        <v>12</v>
      </c>
      <c r="F22" s="1">
        <v>61555539</v>
      </c>
      <c r="G22">
        <v>7157</v>
      </c>
      <c r="H22">
        <v>3935</v>
      </c>
      <c r="I22">
        <v>0.22012362637362601</v>
      </c>
      <c r="J22" s="2">
        <v>1962.0000000000027</v>
      </c>
      <c r="K22">
        <v>0.32052267486548802</v>
      </c>
      <c r="L22" t="s">
        <v>27</v>
      </c>
    </row>
    <row r="23" spans="1:12" x14ac:dyDescent="0.3">
      <c r="A23">
        <v>3</v>
      </c>
      <c r="B23" t="s">
        <v>14</v>
      </c>
      <c r="C23" t="s">
        <v>11</v>
      </c>
      <c r="D23" t="s">
        <v>18</v>
      </c>
      <c r="E23" t="s">
        <v>12</v>
      </c>
      <c r="F23" s="1">
        <v>47965701</v>
      </c>
      <c r="G23">
        <v>4732</v>
      </c>
      <c r="H23">
        <v>5445.5</v>
      </c>
      <c r="I23">
        <v>0.221046547950742</v>
      </c>
      <c r="J23" s="2">
        <v>2701.9999999999886</v>
      </c>
      <c r="K23">
        <v>0.31755665310184</v>
      </c>
      <c r="L23" t="s">
        <v>28</v>
      </c>
    </row>
    <row r="24" spans="1:12" x14ac:dyDescent="0.3">
      <c r="A24">
        <v>3</v>
      </c>
      <c r="B24" t="s">
        <v>14</v>
      </c>
      <c r="C24" t="s">
        <v>11</v>
      </c>
      <c r="D24" t="s">
        <v>19</v>
      </c>
      <c r="E24" t="s">
        <v>12</v>
      </c>
      <c r="F24" s="1">
        <v>115531039</v>
      </c>
      <c r="G24">
        <v>7927</v>
      </c>
      <c r="H24">
        <v>7465</v>
      </c>
      <c r="I24">
        <v>0.223978685612789</v>
      </c>
      <c r="J24" s="2">
        <v>3597.9999999999795</v>
      </c>
      <c r="K24">
        <v>0.43443758659780801</v>
      </c>
      <c r="L24" t="s">
        <v>22</v>
      </c>
    </row>
    <row r="25" spans="1:12" x14ac:dyDescent="0.3">
      <c r="A25">
        <v>3</v>
      </c>
      <c r="B25" t="s">
        <v>14</v>
      </c>
      <c r="C25" t="s">
        <v>9</v>
      </c>
      <c r="D25" t="s">
        <v>18</v>
      </c>
      <c r="E25" t="s">
        <v>7</v>
      </c>
      <c r="F25" s="1">
        <v>69347369</v>
      </c>
      <c r="G25">
        <v>3450</v>
      </c>
      <c r="H25">
        <v>10566</v>
      </c>
      <c r="I25">
        <v>0.21227653009508701</v>
      </c>
      <c r="J25" s="2">
        <v>4895.0000000000391</v>
      </c>
      <c r="K25">
        <v>0.43391771111911398</v>
      </c>
      <c r="L25" t="s">
        <v>23</v>
      </c>
    </row>
    <row r="26" spans="1:12" x14ac:dyDescent="0.3">
      <c r="A26">
        <v>3</v>
      </c>
      <c r="B26" t="s">
        <v>14</v>
      </c>
      <c r="C26" t="s">
        <v>9</v>
      </c>
      <c r="D26" t="s">
        <v>19</v>
      </c>
      <c r="E26" t="s">
        <v>7</v>
      </c>
      <c r="F26" s="1">
        <v>122722125</v>
      </c>
      <c r="G26">
        <v>7125</v>
      </c>
      <c r="H26">
        <v>8410</v>
      </c>
      <c r="I26">
        <v>0.212394705174489</v>
      </c>
      <c r="J26" s="2">
        <v>3984.9999999999905</v>
      </c>
      <c r="K26">
        <v>0.50172159370388603</v>
      </c>
      <c r="L26" t="s">
        <v>29</v>
      </c>
    </row>
    <row r="27" spans="1:12" x14ac:dyDescent="0.3">
      <c r="A27">
        <v>3</v>
      </c>
      <c r="B27" t="s">
        <v>14</v>
      </c>
      <c r="C27" t="s">
        <v>10</v>
      </c>
      <c r="D27" t="s">
        <v>18</v>
      </c>
      <c r="E27" t="s">
        <v>7</v>
      </c>
      <c r="F27" s="1">
        <v>190480080</v>
      </c>
      <c r="G27">
        <v>7157</v>
      </c>
      <c r="H27">
        <v>12571</v>
      </c>
      <c r="I27">
        <v>0.21189606860830401</v>
      </c>
      <c r="J27" s="2">
        <v>5974.0000000000045</v>
      </c>
      <c r="K27">
        <v>0.51845802025481902</v>
      </c>
      <c r="L27" t="s">
        <v>24</v>
      </c>
    </row>
    <row r="28" spans="1:12" x14ac:dyDescent="0.3">
      <c r="A28">
        <v>3</v>
      </c>
      <c r="B28" t="s">
        <v>14</v>
      </c>
      <c r="C28" t="s">
        <v>11</v>
      </c>
      <c r="D28" t="s">
        <v>18</v>
      </c>
      <c r="E28" t="s">
        <v>7</v>
      </c>
      <c r="F28" s="1">
        <v>109474606</v>
      </c>
      <c r="G28">
        <v>4732</v>
      </c>
      <c r="H28">
        <v>12055</v>
      </c>
      <c r="I28">
        <v>0.220584238990611</v>
      </c>
      <c r="J28" s="2">
        <v>5653.0000000000282</v>
      </c>
      <c r="K28">
        <v>0.41968628284012799</v>
      </c>
      <c r="L28" t="s">
        <v>25</v>
      </c>
    </row>
    <row r="29" spans="1:12" x14ac:dyDescent="0.3">
      <c r="A29">
        <v>3</v>
      </c>
      <c r="B29" t="s">
        <v>14</v>
      </c>
      <c r="C29" t="s">
        <v>11</v>
      </c>
      <c r="D29" t="s">
        <v>19</v>
      </c>
      <c r="E29" t="s">
        <v>7</v>
      </c>
      <c r="F29" s="1">
        <v>157367187</v>
      </c>
      <c r="G29">
        <v>7927</v>
      </c>
      <c r="H29">
        <v>10465</v>
      </c>
      <c r="I29">
        <v>0.21996605268121</v>
      </c>
      <c r="J29" s="2">
        <v>4884.9999999999809</v>
      </c>
      <c r="K29">
        <v>0.52036547776310005</v>
      </c>
      <c r="L29" t="s">
        <v>31</v>
      </c>
    </row>
    <row r="30" spans="1:12" x14ac:dyDescent="0.3">
      <c r="C30" t="s">
        <v>34</v>
      </c>
      <c r="F30" s="1">
        <f>SUM(F20:F29)</f>
        <v>959141391</v>
      </c>
      <c r="G30" s="1">
        <f>SUM(G20:G24)</f>
        <v>30391</v>
      </c>
      <c r="J30" s="2"/>
    </row>
    <row r="31" spans="1:12" x14ac:dyDescent="0.3">
      <c r="J31" s="2"/>
    </row>
    <row r="32" spans="1:12" x14ac:dyDescent="0.3">
      <c r="A32">
        <v>4</v>
      </c>
      <c r="B32" t="s">
        <v>15</v>
      </c>
      <c r="C32" t="s">
        <v>9</v>
      </c>
      <c r="D32" t="s">
        <v>18</v>
      </c>
      <c r="E32" t="s">
        <v>12</v>
      </c>
      <c r="F32" s="1">
        <v>117619082</v>
      </c>
      <c r="G32">
        <v>6135</v>
      </c>
      <c r="H32">
        <v>6774</v>
      </c>
      <c r="I32">
        <v>0.355243044940385</v>
      </c>
      <c r="J32" s="2">
        <v>2244.9999999999927</v>
      </c>
      <c r="K32">
        <v>0.38155527881555301</v>
      </c>
      <c r="L32" t="s">
        <v>26</v>
      </c>
    </row>
    <row r="33" spans="1:12" x14ac:dyDescent="0.3">
      <c r="A33">
        <v>4</v>
      </c>
      <c r="B33" t="s">
        <v>15</v>
      </c>
      <c r="C33" t="s">
        <v>9</v>
      </c>
      <c r="D33" t="s">
        <v>19</v>
      </c>
      <c r="E33" t="s">
        <v>12</v>
      </c>
      <c r="F33" s="1">
        <v>165878090</v>
      </c>
      <c r="G33">
        <v>6785</v>
      </c>
      <c r="H33">
        <v>10371</v>
      </c>
      <c r="I33">
        <v>0.35540155921296901</v>
      </c>
      <c r="J33" s="2">
        <v>3414.9999999999945</v>
      </c>
      <c r="K33">
        <v>0.38682004289335198</v>
      </c>
      <c r="L33" t="s">
        <v>21</v>
      </c>
    </row>
    <row r="34" spans="1:12" x14ac:dyDescent="0.3">
      <c r="A34">
        <v>4</v>
      </c>
      <c r="B34" t="s">
        <v>15</v>
      </c>
      <c r="C34" t="s">
        <v>10</v>
      </c>
      <c r="D34" t="s">
        <v>18</v>
      </c>
      <c r="E34" t="s">
        <v>12</v>
      </c>
      <c r="F34" s="1">
        <v>56620255</v>
      </c>
      <c r="G34">
        <v>6267</v>
      </c>
      <c r="H34">
        <v>3946</v>
      </c>
      <c r="I34">
        <v>0.36641221374045801</v>
      </c>
      <c r="J34" s="2">
        <v>1313.0000000000032</v>
      </c>
      <c r="K34">
        <v>0.334802904564315</v>
      </c>
      <c r="L34" t="s">
        <v>27</v>
      </c>
    </row>
    <row r="35" spans="1:12" x14ac:dyDescent="0.3">
      <c r="A35">
        <v>4</v>
      </c>
      <c r="B35" t="s">
        <v>15</v>
      </c>
      <c r="C35" t="s">
        <v>10</v>
      </c>
      <c r="D35" t="s">
        <v>19</v>
      </c>
      <c r="E35" t="s">
        <v>12</v>
      </c>
      <c r="F35" s="1">
        <v>120408720</v>
      </c>
      <c r="G35">
        <v>7918</v>
      </c>
      <c r="H35">
        <v>8178</v>
      </c>
      <c r="I35">
        <v>0.33437567883701902</v>
      </c>
      <c r="J35" s="2">
        <v>2931.4999573596947</v>
      </c>
      <c r="K35">
        <v>0.40726659553105099</v>
      </c>
      <c r="L35" t="s">
        <v>22</v>
      </c>
    </row>
    <row r="36" spans="1:12" x14ac:dyDescent="0.3">
      <c r="A36">
        <v>4</v>
      </c>
      <c r="B36" t="s">
        <v>15</v>
      </c>
      <c r="C36" t="s">
        <v>11</v>
      </c>
      <c r="D36" t="s">
        <v>18</v>
      </c>
      <c r="E36" t="s">
        <v>12</v>
      </c>
      <c r="F36" s="1">
        <v>109245169</v>
      </c>
      <c r="G36">
        <v>5378</v>
      </c>
      <c r="H36">
        <v>8457</v>
      </c>
      <c r="I36">
        <v>0.37088851755160801</v>
      </c>
      <c r="J36" s="2">
        <v>2707.499953831973</v>
      </c>
      <c r="K36">
        <v>0.39090670708113401</v>
      </c>
      <c r="L36" t="s">
        <v>28</v>
      </c>
    </row>
    <row r="37" spans="1:12" x14ac:dyDescent="0.3">
      <c r="A37">
        <v>4</v>
      </c>
      <c r="B37" t="s">
        <v>15</v>
      </c>
      <c r="C37" t="s">
        <v>11</v>
      </c>
      <c r="D37" t="s">
        <v>19</v>
      </c>
      <c r="E37" t="s">
        <v>12</v>
      </c>
      <c r="F37" s="1">
        <v>80808269</v>
      </c>
      <c r="G37">
        <v>4322</v>
      </c>
      <c r="H37">
        <v>7905.5</v>
      </c>
      <c r="I37">
        <v>0.35749257788648098</v>
      </c>
      <c r="J37" s="2">
        <v>2687.999813988059</v>
      </c>
      <c r="K37">
        <v>0.34192919045129899</v>
      </c>
      <c r="L37" t="s">
        <v>32</v>
      </c>
    </row>
    <row r="38" spans="1:12" x14ac:dyDescent="0.3">
      <c r="A38">
        <v>4</v>
      </c>
      <c r="B38" t="s">
        <v>15</v>
      </c>
      <c r="C38" t="s">
        <v>9</v>
      </c>
      <c r="D38" t="s">
        <v>18</v>
      </c>
      <c r="E38" t="s">
        <v>7</v>
      </c>
      <c r="F38" s="1">
        <v>66233075</v>
      </c>
      <c r="G38">
        <v>6135</v>
      </c>
      <c r="H38">
        <v>4797</v>
      </c>
      <c r="I38">
        <v>0.37020977381928999</v>
      </c>
      <c r="J38" s="2">
        <v>1627.0000000000059</v>
      </c>
      <c r="K38">
        <v>0.45047619047618997</v>
      </c>
      <c r="L38" t="s">
        <v>23</v>
      </c>
    </row>
    <row r="39" spans="1:12" x14ac:dyDescent="0.3">
      <c r="A39">
        <v>4</v>
      </c>
      <c r="B39" t="s">
        <v>15</v>
      </c>
      <c r="C39" t="s">
        <v>9</v>
      </c>
      <c r="D39" t="s">
        <v>19</v>
      </c>
      <c r="E39" t="s">
        <v>7</v>
      </c>
      <c r="F39" s="1">
        <v>66327547</v>
      </c>
      <c r="G39">
        <v>6785</v>
      </c>
      <c r="H39">
        <v>4690</v>
      </c>
      <c r="I39">
        <v>0.367088607594937</v>
      </c>
      <c r="J39" s="2">
        <v>1611.000000000008</v>
      </c>
      <c r="K39">
        <v>0.45123209908398898</v>
      </c>
      <c r="L39" t="s">
        <v>29</v>
      </c>
    </row>
    <row r="40" spans="1:12" x14ac:dyDescent="0.3">
      <c r="A40">
        <v>4</v>
      </c>
      <c r="B40" t="s">
        <v>15</v>
      </c>
      <c r="C40" t="s">
        <v>10</v>
      </c>
      <c r="D40" t="s">
        <v>18</v>
      </c>
      <c r="E40" t="s">
        <v>7</v>
      </c>
      <c r="F40" s="1">
        <v>87161088</v>
      </c>
      <c r="G40">
        <v>6267</v>
      </c>
      <c r="H40">
        <v>6343</v>
      </c>
      <c r="I40">
        <v>0.351629169899147</v>
      </c>
      <c r="J40" s="2">
        <v>2159.9999999999955</v>
      </c>
      <c r="K40">
        <v>0.41623155505107801</v>
      </c>
      <c r="L40" t="s">
        <v>24</v>
      </c>
    </row>
    <row r="41" spans="1:12" x14ac:dyDescent="0.3">
      <c r="A41">
        <v>4</v>
      </c>
      <c r="B41" t="s">
        <v>15</v>
      </c>
      <c r="C41" t="s">
        <v>10</v>
      </c>
      <c r="D41" t="s">
        <v>19</v>
      </c>
      <c r="E41" t="s">
        <v>7</v>
      </c>
      <c r="F41" s="1">
        <v>160558016</v>
      </c>
      <c r="G41">
        <v>7918</v>
      </c>
      <c r="H41">
        <v>11197</v>
      </c>
      <c r="I41">
        <v>0.35866621858609599</v>
      </c>
      <c r="J41" s="2">
        <v>3682.0000000000373</v>
      </c>
      <c r="K41">
        <v>0.47085150768996598</v>
      </c>
      <c r="L41" t="s">
        <v>30</v>
      </c>
    </row>
    <row r="42" spans="1:12" x14ac:dyDescent="0.3">
      <c r="A42">
        <v>4</v>
      </c>
      <c r="B42" t="s">
        <v>15</v>
      </c>
      <c r="C42" t="s">
        <v>11</v>
      </c>
      <c r="D42" t="s">
        <v>18</v>
      </c>
      <c r="E42" t="s">
        <v>7</v>
      </c>
      <c r="F42" s="1">
        <v>45037456</v>
      </c>
      <c r="G42">
        <v>5378</v>
      </c>
      <c r="H42">
        <v>2852</v>
      </c>
      <c r="I42">
        <v>0.369644954810251</v>
      </c>
      <c r="J42" s="2">
        <v>980.49987251401171</v>
      </c>
      <c r="K42">
        <v>0.42749764595103601</v>
      </c>
      <c r="L42" t="s">
        <v>25</v>
      </c>
    </row>
    <row r="43" spans="1:12" x14ac:dyDescent="0.3">
      <c r="A43">
        <v>4</v>
      </c>
      <c r="B43" t="s">
        <v>15</v>
      </c>
      <c r="C43" t="s">
        <v>11</v>
      </c>
      <c r="D43" t="s">
        <v>19</v>
      </c>
      <c r="E43" t="s">
        <v>7</v>
      </c>
      <c r="F43" s="1">
        <v>46804195</v>
      </c>
      <c r="G43">
        <v>4322</v>
      </c>
      <c r="H43">
        <v>3420</v>
      </c>
      <c r="I43">
        <v>0.37562827006190402</v>
      </c>
      <c r="J43" s="2">
        <v>1147.0000000000066</v>
      </c>
      <c r="K43">
        <v>0.44332897971437302</v>
      </c>
      <c r="L43" t="s">
        <v>31</v>
      </c>
    </row>
    <row r="44" spans="1:12" x14ac:dyDescent="0.3">
      <c r="C44" t="s">
        <v>34</v>
      </c>
      <c r="F44" s="1">
        <f>SUM(F32:F43)</f>
        <v>1122700962</v>
      </c>
      <c r="G44" s="1">
        <f>SUM(G32:G37)</f>
        <v>36805</v>
      </c>
    </row>
    <row r="46" spans="1:12" x14ac:dyDescent="0.3">
      <c r="A46" t="s">
        <v>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2025-06-18T05:54:22Z</dcterms:created>
  <dcterms:modified xsi:type="dcterms:W3CDTF">2025-07-11T19:56:39Z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1209176128067995253</vt:lpwstr>
  </property>
  <property fmtid="{D5CDD505-2E9C-101B-9397-08002B2CF9AE}" pid="5" name="TemplafyFromBlank">
    <vt:bool>true</vt:bool>
  </property>
</Properties>
</file>